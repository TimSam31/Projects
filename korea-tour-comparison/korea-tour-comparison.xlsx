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ice" sheetId="2" state="visible" r:id="rId4"/>
    <sheet name="Days &amp; Flights" sheetId="3" state="visible" r:id="rId5"/>
    <sheet name="Hotels" sheetId="4" state="visible" r:id="rId6"/>
    <sheet name="Meals" sheetId="5" state="visible" r:id="rId7"/>
    <sheet name="Terms" sheetId="6" state="visible" r:id="rId8"/>
    <sheet name="Sightseeing" sheetId="7" state="visible" r:id="rId9"/>
    <sheet name="Sightseeing Opinion" sheetId="8" state="visible" r:id="rId10"/>
    <sheet name="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5" authorId="0">
      <text>
        <r>
          <rPr>
            <sz val="10"/>
            <rFont val="Arial"/>
            <family val="2"/>
          </rPr>
          <t xml:space="preserve">Small differences are rounding. Panorama's difference is the tipping the agent left out.</t>
        </r>
      </text>
    </comment>
    <comment ref="B17" authorId="0">
      <text>
        <r>
          <rPr>
            <sz val="10"/>
            <rFont val="Arial"/>
            <family val="2"/>
          </rPr>
          <t xml:space="preserve">Not quoted by Aviatour: estimate from the Notes sheet</t>
        </r>
      </text>
    </comment>
    <comment ref="B18" authorId="0">
      <text>
        <r>
          <rPr>
            <sz val="10"/>
            <rFont val="Arial"/>
            <family val="2"/>
          </rPr>
          <t xml:space="preserve">Group insurance included (≤69 y)</t>
        </r>
      </text>
    </comment>
    <comment ref="C18" authorId="0">
      <text>
        <r>
          <rPr>
            <sz val="10"/>
            <rFont val="Arial"/>
            <family val="2"/>
          </rPr>
          <t xml:space="preserve">Included, up to USD 50,000</t>
        </r>
      </text>
    </comment>
    <comment ref="C21" authorId="0">
      <text>
        <r>
          <rPr>
            <sz val="10"/>
            <rFont val="Arial"/>
            <family val="2"/>
          </rPr>
          <t xml:space="preserve">Up to IDR 3,000,000, limited quota: confirm it still applies</t>
        </r>
      </text>
    </comment>
    <comment ref="C24" authorId="0">
      <text>
        <r>
          <rPr>
            <sz val="10"/>
            <rFont val="Arial"/>
            <family val="2"/>
          </rPr>
          <t xml:space="preserve">"All in, Dep 6 Apr" incl. tip, PPN, airport tax, with 3 M discount (handwriting ambiguous)</t>
        </r>
      </text>
    </comment>
    <comment ref="D15" authorId="0">
      <text>
        <r>
          <rPr>
            <sz val="10"/>
            <rFont val="Arial"/>
            <family val="2"/>
          </rPr>
          <t xml:space="preserve">Free group visa</t>
        </r>
      </text>
    </comment>
    <comment ref="D17" authorId="0">
      <text>
        <r>
          <rPr>
            <sz val="10"/>
            <rFont val="Arial"/>
            <family val="2"/>
          </rPr>
          <t xml:space="preserve">USD 50 × exchange rate (Notes sheet)</t>
        </r>
      </text>
    </comment>
    <comment ref="D18" authorId="0">
      <text>
        <r>
          <rPr>
            <sz val="10"/>
            <rFont val="Arial"/>
            <family val="2"/>
          </rPr>
          <t xml:space="preserve">Mandatory, not included in tour price</t>
        </r>
      </text>
    </comment>
    <comment ref="D19" authorId="0">
      <text>
        <r>
          <rPr>
            <sz val="10"/>
            <rFont val="Arial"/>
            <family val="2"/>
          </rPr>
          <t xml:space="preserve">Rate not stated: assumption on Notes sheet</t>
        </r>
      </text>
    </comment>
    <comment ref="E15" authorId="0">
      <text>
        <r>
          <rPr>
            <sz val="10"/>
            <rFont val="Arial"/>
            <family val="2"/>
          </rPr>
          <t xml:space="preserve">IDR 1,270,000 + VAT = 1,281,000</t>
        </r>
      </text>
    </comment>
    <comment ref="E17" authorId="0">
      <text>
        <r>
          <rPr>
            <sz val="10"/>
            <rFont val="Arial"/>
            <family val="2"/>
          </rPr>
          <t xml:space="preserve">USD 56 × exchange rate (Notes sheet)</t>
        </r>
      </text>
    </comment>
    <comment ref="E18" authorId="0">
      <text>
        <r>
          <rPr>
            <sz val="10"/>
            <rFont val="Arial"/>
            <family val="2"/>
          </rPr>
          <t xml:space="preserve">Not stated in brochure</t>
        </r>
      </text>
    </comment>
    <comment ref="E24" authorId="0">
      <text>
        <r>
          <rPr>
            <sz val="10"/>
            <rFont val="Arial"/>
            <family val="2"/>
          </rPr>
          <t xml:space="preserve">Tour + PPN 1.1% + visa. Excludes the USD 56 tipping</t>
        </r>
      </text>
    </comment>
    <comment ref="F17" authorId="0">
      <text>
        <r>
          <rPr>
            <sz val="10"/>
            <rFont val="Arial"/>
            <family val="2"/>
          </rPr>
          <t xml:space="preserve">Paid in Jakarta</t>
        </r>
      </text>
    </comment>
    <comment ref="F18" authorId="0">
      <text>
        <r>
          <rPr>
            <sz val="10"/>
            <rFont val="Arial"/>
            <family val="2"/>
          </rPr>
          <t xml:space="preserve">Group insurance included (≤69 y)</t>
        </r>
      </text>
    </comment>
    <comment ref="F24" authorId="0">
      <text>
        <r>
          <rPr>
            <sz val="10"/>
            <rFont val="Arial"/>
            <family val="2"/>
          </rPr>
          <t xml:space="preserve">"Nett (all in)"</t>
        </r>
      </text>
    </comment>
    <comment ref="G15" authorId="0">
      <text>
        <r>
          <rPr>
            <sz val="10"/>
            <rFont val="Arial"/>
            <family val="2"/>
          </rPr>
          <t xml:space="preserve">Group visa included</t>
        </r>
      </text>
    </comment>
    <comment ref="G17" authorId="0">
      <text>
        <r>
          <rPr>
            <sz val="10"/>
            <rFont val="Arial"/>
            <family val="2"/>
          </rPr>
          <t xml:space="preserve">Paid in Jakarta</t>
        </r>
      </text>
    </comment>
    <comment ref="G18" authorId="0">
      <text>
        <r>
          <rPr>
            <sz val="10"/>
            <rFont val="Arial"/>
            <family val="2"/>
          </rPr>
          <t xml:space="preserve">Zurich group insurance included (≤65 y)</t>
        </r>
      </text>
    </comment>
    <comment ref="G24" authorId="0">
      <text>
        <r>
          <rPr>
            <sz val="10"/>
            <rFont val="Arial"/>
            <family val="2"/>
          </rPr>
          <t xml:space="preserve">"Harga Tour Nett"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3" authorId="0">
      <text>
        <r>
          <rPr>
            <sz val="10"/>
            <rFont val="Arial"/>
            <family val="2"/>
          </rPr>
          <t xml:space="preserve">Judgement based on class, location and how much the brochure discloses.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0" authorId="0">
      <text>
        <r>
          <rPr>
            <sz val="10"/>
            <rFont val="Arial"/>
            <family val="2"/>
          </rPr>
          <t xml:space="preserve">Rough estimate: 3 meals per day on the ground (hotel nights + 1 day) minus included meals. Excludes in-flight meals.</t>
        </r>
      </text>
    </comment>
    <comment ref="E11" authorId="0">
      <text>
        <r>
          <rPr>
            <sz val="10"/>
            <rFont val="Arial"/>
            <family val="2"/>
          </rPr>
          <t xml:space="preserve">Day 5 lunch: Samgyetang at Tosokchon / Gobong · Day 8: breakfast box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Per person, per shop</t>
        </r>
      </text>
    </comment>
    <comment ref="F9" authorId="0">
      <text>
        <r>
          <rPr>
            <sz val="10"/>
            <rFont val="Arial"/>
            <family val="2"/>
          </rPr>
          <t xml:space="preserve">Per person</t>
        </r>
      </text>
    </comment>
    <comment ref="G9" authorId="0">
      <text>
        <r>
          <rPr>
            <sz val="10"/>
            <rFont val="Arial"/>
            <family val="2"/>
          </rPr>
          <t xml:space="preserve">Per person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Arial"/>
            <family val="2"/>
          </rPr>
          <t xml:space="preserve">Plum &amp; sansuyu blossoms instead: 4/5 for spring flowers</t>
        </r>
      </text>
    </comment>
    <comment ref="G8" authorId="0">
      <text>
        <r>
          <rPr>
            <sz val="10"/>
            <rFont val="Arial"/>
            <family val="2"/>
          </rPr>
          <t xml:space="preserve">November: no blossoms</t>
        </r>
      </text>
    </comment>
  </commentList>
</comments>
</file>

<file path=xl/sharedStrings.xml><?xml version="1.0" encoding="utf-8"?>
<sst xmlns="http://schemas.openxmlformats.org/spreadsheetml/2006/main" count="778" uniqueCount="387">
  <si>
    <t xml:space="preserve">Korea Tour Comparison: 6 Packages</t>
  </si>
  <si>
    <t xml:space="preserve">Side-by-side summary. Every number here is linked to the detail sheets, so edits there flow through.</t>
  </si>
  <si>
    <t xml:space="preserve">Tour</t>
  </si>
  <si>
    <t xml:space="preserve">Aviatour</t>
  </si>
  <si>
    <t xml:space="preserve">Bayu Buana</t>
  </si>
  <si>
    <t xml:space="preserve">Obaja</t>
  </si>
  <si>
    <t xml:space="preserve">Panorama</t>
  </si>
  <si>
    <t xml:space="preserve">Wita</t>
  </si>
  <si>
    <t xml:space="preserve">Rotama</t>
  </si>
  <si>
    <t xml:space="preserve">The trip</t>
  </si>
  <si>
    <t xml:space="preserve">Departure</t>
  </si>
  <si>
    <t xml:space="preserve">Days / hotel nights</t>
  </si>
  <si>
    <t xml:space="preserve">Guided touring days</t>
  </si>
  <si>
    <t xml:space="preserve">Places</t>
  </si>
  <si>
    <t xml:space="preserve">Busan · Jeonju · Seoul</t>
  </si>
  <si>
    <t xml:space="preserve">Busan · Jinhae · Nami · Seoul</t>
  </si>
  <si>
    <t xml:space="preserve">Busan · Nami · Seoul</t>
  </si>
  <si>
    <t xml:space="preserve">Busan · Maehwa · Gurye · Jeonju · Seoul</t>
  </si>
  <si>
    <t xml:space="preserve">Busan · Jinhae · Seoul</t>
  </si>
  <si>
    <t xml:space="preserve">Seoul area only</t>
  </si>
  <si>
    <t xml:space="preserve">Airline</t>
  </si>
  <si>
    <t xml:space="preserve">Routing</t>
  </si>
  <si>
    <t xml:space="preserve">Season</t>
  </si>
  <si>
    <t xml:space="preserve">Money</t>
  </si>
  <si>
    <t xml:space="preserve">List price (adult twin)</t>
  </si>
  <si>
    <t xml:space="preserve">ALL-IN PRICE PER ADULT</t>
  </si>
  <si>
    <t xml:space="preserve">Price rank (1 = cheapest)</t>
  </si>
  <si>
    <t xml:space="preserve">Cost per day</t>
  </si>
  <si>
    <t xml:space="preserve">Single supplement</t>
  </si>
  <si>
    <t xml:space="preserve">Comfort</t>
  </si>
  <si>
    <t xml:space="preserve">Hotel class</t>
  </si>
  <si>
    <t xml:space="preserve">Seoul hotel</t>
  </si>
  <si>
    <t xml:space="preserve">Hotel ranking (1 = best)</t>
  </si>
  <si>
    <t xml:space="preserve">Meals included</t>
  </si>
  <si>
    <t xml:space="preserve">Checked baggage</t>
  </si>
  <si>
    <t xml:space="preserve">Compulsory shop stops</t>
  </si>
  <si>
    <t xml:space="preserve">Sightseeing</t>
  </si>
  <si>
    <t xml:space="preserve">Sights &amp; experiences</t>
  </si>
  <si>
    <t xml:space="preserve">Subjective score (out of 5)</t>
  </si>
  <si>
    <t xml:space="preserve">Bottom line</t>
  </si>
  <si>
    <t xml:space="preserve">Lowest cost</t>
  </si>
  <si>
    <t xml:space="preserve">Rotama (short trip) · Obaja (full-length trip)</t>
  </si>
  <si>
    <t xml:space="preserve">Most for the money</t>
  </si>
  <si>
    <t xml:space="preserve">Panorama: 8 days, 14 meals, city-centre hotels</t>
  </si>
  <si>
    <t xml:space="preserve">Best hotels</t>
  </si>
  <si>
    <t xml:space="preserve">Wita (only 4★) · Panorama (city centre + hanok night)</t>
  </si>
  <si>
    <t xml:space="preserve">Jinhae / Busan cherry blossom</t>
  </si>
  <si>
    <t xml:space="preserve">Wita (28 Mar, best timing)</t>
  </si>
  <si>
    <t xml:space="preserve">Seoul cherry blossom, lower price</t>
  </si>
  <si>
    <t xml:space="preserve">Aviatour (Yeouido, 9 Apr)</t>
  </si>
  <si>
    <t xml:space="preserve">Most relaxed flight home</t>
  </si>
  <si>
    <t xml:space="preserve">Bayu Buana (11:05 departure)</t>
  </si>
  <si>
    <t xml:space="preserve">Overall without cherry blossom</t>
  </si>
  <si>
    <t xml:space="preserve">Before booking: confirm the agents' handwritten quotes in writing; ask Aviatour for tipping, Bayu Buana for hotel names and page 3, and Wita about the Busan routing and Lotte World ticket.</t>
  </si>
  <si>
    <t xml:space="preserve">Price</t>
  </si>
  <si>
    <t xml:space="preserve">Per adult, twin share, in IDR. Blue = brochure figures; black = formulas. All-in adds every compulsory extra.</t>
  </si>
  <si>
    <t xml:space="preserve">List prices (per person)</t>
  </si>
  <si>
    <t xml:space="preserve">Adult twin share</t>
  </si>
  <si>
    <t xml:space="preserve">Child twin share</t>
  </si>
  <si>
    <t xml:space="preserve">Child extra bed / triple</t>
  </si>
  <si>
    <t xml:space="preserve">Child no bed</t>
  </si>
  <si>
    <t xml:space="preserve">Infant</t>
  </si>
  <si>
    <t xml:space="preserve">Compulsory extras on top of the adult price</t>
  </si>
  <si>
    <t xml:space="preserve">Airport tax / fuel surcharge</t>
  </si>
  <si>
    <t xml:space="preserve">Korea visa</t>
  </si>
  <si>
    <t xml:space="preserve">Tipping quoted in USD</t>
  </si>
  <si>
    <t xml:space="preserve">Tipping (IDR)</t>
  </si>
  <si>
    <t xml:space="preserve">Extra insurance charge</t>
  </si>
  <si>
    <t xml:space="preserve">PPN (VAT) rate</t>
  </si>
  <si>
    <t xml:space="preserve">PPN amount</t>
  </si>
  <si>
    <t xml:space="preserve">Discount</t>
  </si>
  <si>
    <t xml:space="preserve">All-in cost per adult</t>
  </si>
  <si>
    <t xml:space="preserve">ALL-IN PRICE (calculated)</t>
  </si>
  <si>
    <t xml:space="preserve">Agent's handwritten quote</t>
  </si>
  <si>
    <t xml:space="preserve">Calculated minus quote</t>
  </si>
  <si>
    <t xml:space="preserve">Value for money</t>
  </si>
  <si>
    <t xml:space="preserve">Per day</t>
  </si>
  <si>
    <t xml:space="preserve">Per hotel night</t>
  </si>
  <si>
    <t xml:space="preserve">Per guided touring day</t>
  </si>
  <si>
    <t xml:space="preserve">Rotama is a 5-day Seoul-only trip in November on a low-cost airline. Compare its price with care. USD tipping converted at the rate on the Notes sheet.</t>
  </si>
  <si>
    <t xml:space="preserve">Days &amp; Flights</t>
  </si>
  <si>
    <t xml:space="preserve">Trip length, timing in Korea and flight details for each package.</t>
  </si>
  <si>
    <t xml:space="preserve">Dates &amp; length</t>
  </si>
  <si>
    <t xml:space="preserve">04 Apr 2027 (also 08 Apr)</t>
  </si>
  <si>
    <t xml:space="preserve">05 / 06 / 07 Apr 2027</t>
  </si>
  <si>
    <t xml:space="preserve">16 Mar 2027</t>
  </si>
  <si>
    <t xml:space="preserve">26 Mar (2027, presumed)</t>
  </si>
  <si>
    <t xml:space="preserve">11 Nov (2026)</t>
  </si>
  <si>
    <t xml:space="preserve">Dates in Korea</t>
  </si>
  <si>
    <t xml:space="preserve">5 – 10 Apr</t>
  </si>
  <si>
    <t xml:space="preserve">7 – 12 Apr (06 Apr dep.)</t>
  </si>
  <si>
    <t xml:space="preserve">17 – 22 Mar</t>
  </si>
  <si>
    <t xml:space="preserve">17 – 23 Mar</t>
  </si>
  <si>
    <t xml:space="preserve">27 Mar – 1 Apr</t>
  </si>
  <si>
    <t xml:space="preserve">12 – 15 Nov</t>
  </si>
  <si>
    <t xml:space="preserve">Total days</t>
  </si>
  <si>
    <t xml:space="preserve">Hotel nights</t>
  </si>
  <si>
    <t xml:space="preserve">Free days (no bus / guide)</t>
  </si>
  <si>
    <t xml:space="preserve">Flights</t>
  </si>
  <si>
    <t xml:space="preserve">Singapore Airlines</t>
  </si>
  <si>
    <t xml:space="preserve">Trinity Airways (TW, ex-T'way)</t>
  </si>
  <si>
    <t xml:space="preserve">Outbound</t>
  </si>
  <si>
    <t xml:space="preserve">SQ965 CGK–SIN 19:20–22:05
SQ608 SIN–ICN 00:20–07:45</t>
  </si>
  <si>
    <t xml:space="preserve">SQ963 CGK–SIN 18:05–20:55
SQ616 SIN–PUS 23:15–06:50</t>
  </si>
  <si>
    <t xml:space="preserve">SQ965 CGK–SIN 19:20–22:05
SQ616 SIN–PUS 23:05–06:20</t>
  </si>
  <si>
    <t xml:space="preserve">SQ963 CGK–SIN 18:10–20:55
SQ616 SIN–PUS 23:25–06:45</t>
  </si>
  <si>
    <t xml:space="preserve">SQ963 CGK–SIN 18:10–20:55
SQ616 SIN–PUS 23:30–06:45</t>
  </si>
  <si>
    <t xml:space="preserve">TW156 CGK–ICN 21:50–07:05
(direct)</t>
  </si>
  <si>
    <t xml:space="preserve">Return</t>
  </si>
  <si>
    <t xml:space="preserve">SQ607 ICN–SIN 09:00–14:20
SQ962 SIN–CGK 16:15–17:10</t>
  </si>
  <si>
    <t xml:space="preserve">SQ611 ICN–SIN 11:05–16:35
SQ966 SIN–CGK 18:30–19:20</t>
  </si>
  <si>
    <t xml:space="preserve">SQ607 ICN–SIN 08:50–14:25
SQ962 SIN–CGK 16:10–17:05</t>
  </si>
  <si>
    <t xml:space="preserve">TW155 ICN–CGK 14:50–20:10
(direct)</t>
  </si>
  <si>
    <t xml:space="preserve">Arrive Korea</t>
  </si>
  <si>
    <t xml:space="preserve">Day 2, 07:45 · Incheon</t>
  </si>
  <si>
    <t xml:space="preserve">Day 2, 06:50 · Busan</t>
  </si>
  <si>
    <t xml:space="preserve">Day 2, 06:20 · Busan</t>
  </si>
  <si>
    <t xml:space="preserve">Day 2, 06:45 · Busan</t>
  </si>
  <si>
    <t xml:space="preserve">Day 2, 07:05 · Incheon</t>
  </si>
  <si>
    <t xml:space="preserve">Leave Korea</t>
  </si>
  <si>
    <t xml:space="preserve">Day 7, 09:00 · Incheon</t>
  </si>
  <si>
    <t xml:space="preserve">Day 7, 11:05 · Incheon</t>
  </si>
  <si>
    <t xml:space="preserve">Day 8, 08:50 · Incheon</t>
  </si>
  <si>
    <t xml:space="preserve">Day 5, 14:50 · Incheon</t>
  </si>
  <si>
    <t xml:space="preserve">Incheon in &amp; out; KTX train to Busan on Day 2</t>
  </si>
  <si>
    <t xml:space="preserve">Open-jaw: Busan in, Incheon out</t>
  </si>
  <si>
    <t xml:space="preserve">Open-jaw: Busan in, Incheon out; KTX Busan → Seoul</t>
  </si>
  <si>
    <t xml:space="preserve">Direct, no transit</t>
  </si>
  <si>
    <t xml:space="preserve">20 kg + 7 kg cabin</t>
  </si>
  <si>
    <t xml:space="preserve">Not legible (free cabin suitcase gift)</t>
  </si>
  <si>
    <t xml:space="preserve">25 kg + 7 kg cabin</t>
  </si>
  <si>
    <t xml:space="preserve">Not stated</t>
  </si>
  <si>
    <t xml:space="preserve">Per airline rules</t>
  </si>
  <si>
    <t xml:space="preserve">Per airline rules (low-cost: check)</t>
  </si>
  <si>
    <t xml:space="preserve">Watch out for</t>
  </si>
  <si>
    <t xml:space="preserve">~3 h KTX transfer straight after the overnight flight</t>
  </si>
  <si>
    <t xml:space="preserve">Most relaxed last morning (11:05)</t>
  </si>
  <si>
    <t xml:space="preserve">Only 1 h connection in Singapore outbound</t>
  </si>
  <si>
    <t xml:space="preserve">Early 08:50 departure</t>
  </si>
  <si>
    <t xml:space="preserve">Early 09:00 departure</t>
  </si>
  <si>
    <t xml:space="preserve">Low-cost carrier: meals / bags may cost extra</t>
  </si>
  <si>
    <t xml:space="preserve">Typical season at travel time</t>
  </si>
  <si>
    <t xml:space="preserve">Cherry blossom: Seoul Yeouido near peak; Busan may be fading</t>
  </si>
  <si>
    <t xml:space="preserve">Jinhae on 8 Apr is late in its peak window (riskier)</t>
  </si>
  <si>
    <t xml:space="preserve">Early spring: before cherry blossom</t>
  </si>
  <si>
    <t xml:space="preserve">Plum &amp; sansuyu blossoms (what the tour is built for); no cherry blossom</t>
  </si>
  <si>
    <t xml:space="preserve">Jinhae on 28 Mar sits in its usual peak window; Seoul may be early</t>
  </si>
  <si>
    <t xml:space="preserve">Late autumn, cold; foliage likely past peak</t>
  </si>
  <si>
    <t xml:space="preserve">Every tour spends night 1 on the plane and lands early on Day 2. Bloom dates vary each year.</t>
  </si>
  <si>
    <t xml:space="preserve">Hotels</t>
  </si>
  <si>
    <t xml:space="preserve">Where you sleep each night. Hover over a cell with a red corner for brochure notes.</t>
  </si>
  <si>
    <t xml:space="preserve">Accommodation</t>
  </si>
  <si>
    <t xml:space="preserve">3★ or equivalent</t>
  </si>
  <si>
    <t xml:space="preserve">"Superior Class" (no stars stated)</t>
  </si>
  <si>
    <t xml:space="preserve">3★</t>
  </si>
  <si>
    <t xml:space="preserve">Not stated (named hotels)</t>
  </si>
  <si>
    <t xml:space="preserve">4★</t>
  </si>
  <si>
    <t xml:space="preserve">Busan</t>
  </si>
  <si>
    <t xml:space="preserve">1 night · 3★ (unnamed)</t>
  </si>
  <si>
    <t xml:space="preserve">2 nights · unnamed</t>
  </si>
  <si>
    <t xml:space="preserve">1 night · Busan Tourist Hotel</t>
  </si>
  <si>
    <t xml:space="preserve">1 night · Griffin Busan Hotel</t>
  </si>
  <si>
    <t xml:space="preserve">2 nights · Layers Hotel Busan</t>
  </si>
  <si>
    <t xml:space="preserve">–</t>
  </si>
  <si>
    <t xml:space="preserve">Jeonju</t>
  </si>
  <si>
    <t xml:space="preserve">1 night · Nabijam Jeonju Hanok Hotel (traditional ondol room)</t>
  </si>
  <si>
    <t xml:space="preserve">Seoul area</t>
  </si>
  <si>
    <t xml:space="preserve">3 nights · 3★, "Seoul or nearby"</t>
  </si>
  <si>
    <t xml:space="preserve">3 nights · unnamed</t>
  </si>
  <si>
    <t xml:space="preserve">4 nights · Anyang Samwon Hotel</t>
  </si>
  <si>
    <t xml:space="preserve">4 nights · Baiton Dongdaemun Hotel</t>
  </si>
  <si>
    <t xml:space="preserve">3 nights · Migliore Hotel</t>
  </si>
  <si>
    <t xml:space="preserve">3 nights · Samwon Plaza Hotel</t>
  </si>
  <si>
    <t xml:space="preserve">Location</t>
  </si>
  <si>
    <t xml:space="preserve">Seoul hotel may be outside the city</t>
  </si>
  <si>
    <t xml:space="preserve">Unknown: ask the agent</t>
  </si>
  <si>
    <t xml:space="preserve">Anyang, a satellite city south of Seoul</t>
  </si>
  <si>
    <t xml:space="preserve">Seoul city centre ("Hotel City Centre")</t>
  </si>
  <si>
    <t xml:space="preserve">A Hotel Migliore operates in Myeongdong, central Seoul (confirm)</t>
  </si>
  <si>
    <t xml:space="preserve">Gyeonggi, outside Seoul</t>
  </si>
  <si>
    <t xml:space="preserve">No hotel names given</t>
  </si>
  <si>
    <t xml:space="preserve">No hotel names or stars legible</t>
  </si>
  <si>
    <t xml:space="preserve">No hotel porter; commute on free day</t>
  </si>
  <si>
    <t xml:space="preserve">Hanok night = floor bedding</t>
  </si>
  <si>
    <t xml:space="preserve">Most expensive tour</t>
  </si>
  <si>
    <t xml:space="preserve">Commute into Seoul each day</t>
  </si>
  <si>
    <t xml:space="preserve">All hotels are "or equivalent" (atau setaraf) and may be swapped for similar hotels if fully booked.</t>
  </si>
  <si>
    <t xml:space="preserve">Meals</t>
  </si>
  <si>
    <t xml:space="preserve">B = breakfast · L = lunch · D = dinner · – = no meal. Totals are counted by formula from the daily grid.</t>
  </si>
  <si>
    <t xml:space="preserve">Day by day</t>
  </si>
  <si>
    <t xml:space="preserve">Day 1</t>
  </si>
  <si>
    <t xml:space="preserve">Day 2</t>
  </si>
  <si>
    <t xml:space="preserve">L · D</t>
  </si>
  <si>
    <t xml:space="preserve">L</t>
  </si>
  <si>
    <t xml:space="preserve">Day 3</t>
  </si>
  <si>
    <t xml:space="preserve">B · L · D</t>
  </si>
  <si>
    <t xml:space="preserve">B · L</t>
  </si>
  <si>
    <t xml:space="preserve">B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</si>
  <si>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</si>
  <si>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</si>
  <si>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</si>
  <si>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</si>
  <si>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</si>
  <si>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Totals</t>
  </si>
  <si>
    <t xml:space="preserve">Breakfasts</t>
  </si>
  <si>
    <t xml:space="preserve">Lunches</t>
  </si>
  <si>
    <t xml:space="preserve">Dinners</t>
  </si>
  <si>
    <t xml:space="preserve">TOTAL MEALS</t>
  </si>
  <si>
    <t xml:space="preserve">Meals you pay for yourself (approx.)</t>
  </si>
  <si>
    <t xml:space="preserve">Food extras</t>
  </si>
  <si>
    <t xml:space="preserve">Gimbap making · BIFF Street food</t>
  </si>
  <si>
    <t xml:space="preserve">Shabu-shabu buffet · ramyeon making at Han River · kimchi making</t>
  </si>
  <si>
    <t xml:space="preserve">Kimbap making · 1 bottle of water per day</t>
  </si>
  <si>
    <t xml:space="preserve">Samgyetang at Tosokchon · kimbap making · strawberry picking · water</t>
  </si>
  <si>
    <t xml:space="preserve">Kimbap making · Gwangjang &amp; Jagalchi markets</t>
  </si>
  <si>
    <t xml:space="preserve">Kimchi making</t>
  </si>
  <si>
    <t xml:space="preserve">Terms &amp; Shopping</t>
  </si>
  <si>
    <t xml:space="preserve">Compulsory shop stops, fines, deposits and what's thrown in.</t>
  </si>
  <si>
    <t xml:space="preserve">Shopping</t>
  </si>
  <si>
    <t xml:space="preserve">Ginseng &amp; Cosmetic · Red Pine &amp; DFS · Grocery market</t>
  </si>
  <si>
    <t xml:space="preserve">Ginseng · Cosmetic · Red Pine · DFS · Lotte Premium Outlet · Cookies</t>
  </si>
  <si>
    <t xml:space="preserve">Ginseng · Cosmetic · DFS · Red Pine &amp; Amethyst · Grocery</t>
  </si>
  <si>
    <t xml:space="preserve">Ginseng &amp; Cosmetic · Red Pine &amp; DFS</t>
  </si>
  <si>
    <t xml:space="preserve">Ginseng · Cosmetic · Red Pine · DFS</t>
  </si>
  <si>
    <t xml:space="preserve">Number of shop stops</t>
  </si>
  <si>
    <t xml:space="preserve">Fine for skipping a shop</t>
  </si>
  <si>
    <t xml:space="preserve">Booking terms</t>
  </si>
  <si>
    <t xml:space="preserve">Minimum group size</t>
  </si>
  <si>
    <t xml:space="preserve">20</t>
  </si>
  <si>
    <t xml:space="preserve">20 adults</t>
  </si>
  <si>
    <t xml:space="preserve">Non-refundable deposit</t>
  </si>
  <si>
    <t xml:space="preserve">IDR 13 M + visa</t>
  </si>
  <si>
    <t xml:space="preserve">Not legible</t>
  </si>
  <si>
    <t xml:space="preserve">IDR 8 M (high season, Asia)</t>
  </si>
  <si>
    <t xml:space="preserve">IDR 10 M (tour &lt; 30 M)</t>
  </si>
  <si>
    <t xml:space="preserve">Final payment due</t>
  </si>
  <si>
    <t xml:space="preserve">1 month before</t>
  </si>
  <si>
    <t xml:space="preserve">30 days before</t>
  </si>
  <si>
    <t xml:space="preserve">21 days (low) / 30 days (peak) before</t>
  </si>
  <si>
    <t xml:space="preserve">Cancellation charges</t>
  </si>
  <si>
    <t xml:space="preserve">Deposit forfeited</t>
  </si>
  <si>
    <t xml:space="preserve">50% at 45–30 days · 75% at 30–20 · 100% ≤19</t>
  </si>
  <si>
    <t xml:space="preserve">80% at 45–30 working days · 100% ≤29</t>
  </si>
  <si>
    <t xml:space="preserve">Included extras</t>
  </si>
  <si>
    <t xml:space="preserve">Bonuses</t>
  </si>
  <si>
    <t xml:space="preserve">Group travel insurance</t>
  </si>
  <si>
    <t xml:space="preserve">Travel SIM · free cabin suitcase · insurance</t>
  </si>
  <si>
    <t xml:space="preserve">Travel SIM · water · Jakarta airport handling · free group visa</t>
  </si>
  <si>
    <t xml:space="preserve">Mineral water</t>
  </si>
  <si>
    <t xml:space="preserve">Insurance · Lotte World (entry implied, confirm)</t>
  </si>
  <si>
    <t xml:space="preserve">Free group visa · insurance</t>
  </si>
  <si>
    <t xml:space="preserve">Tour leader from Jakarta</t>
  </si>
  <si>
    <t xml:space="preserve">Yes</t>
  </si>
  <si>
    <t xml:space="preserve">Wita and Rotama brochures share the same office footer and word-for-word terms, so they look like the same company group.</t>
  </si>
  <si>
    <t xml:space="preserve">Sightseeing: What Each Tour Visits</t>
  </si>
  <si>
    <t xml:space="preserve">Facts only. ✓ = included (counted) · Photo stop = drive-by or photo only · – = not included. See 'Sightseeing Opinion' for the subjective view.</t>
  </si>
  <si>
    <t xml:space="preserve">Attraction / experience</t>
  </si>
  <si>
    <t xml:space="preserve">Gamcheon Culture Village</t>
  </si>
  <si>
    <t xml:space="preserve">✓</t>
  </si>
  <si>
    <t xml:space="preserve">BIFF Street / Square</t>
  </si>
  <si>
    <t xml:space="preserve">Haedong Yonggungsa Temple</t>
  </si>
  <si>
    <t xml:space="preserve">Haeundae Sky Capsule Train</t>
  </si>
  <si>
    <t xml:space="preserve">✓ (or Beach Train)</t>
  </si>
  <si>
    <t xml:space="preserve">Haeundae Beach &amp; The Bay 101</t>
  </si>
  <si>
    <t xml:space="preserve">Cheongsapo Station</t>
  </si>
  <si>
    <t xml:space="preserve">Oryukdo Skywalk</t>
  </si>
  <si>
    <t xml:space="preserve">Jagalchi Fish Market</t>
  </si>
  <si>
    <t xml:space="preserve">Gwangandaegyo Bridge</t>
  </si>
  <si>
    <t xml:space="preserve">Photo stop</t>
  </si>
  <si>
    <t xml:space="preserve">Spring flowers</t>
  </si>
  <si>
    <t xml:space="preserve">Jinhae cherry blossom</t>
  </si>
  <si>
    <t xml:space="preserve">✓ (8 Apr)</t>
  </si>
  <si>
    <t xml:space="preserve">✓ (28 Mar)</t>
  </si>
  <si>
    <t xml:space="preserve">Yeouido cherry blossom (Seoul)</t>
  </si>
  <si>
    <t xml:space="preserve">Maehwa (plum) Village</t>
  </si>
  <si>
    <t xml:space="preserve">Gurye Sansuyu Village</t>
  </si>
  <si>
    <t xml:space="preserve">Jeonju &amp; countryside</t>
  </si>
  <si>
    <t xml:space="preserve">Jeonju Hanok Village</t>
  </si>
  <si>
    <t xml:space="preserve">✓ + overnight</t>
  </si>
  <si>
    <t xml:space="preserve">Gyeonggijeon Shrine</t>
  </si>
  <si>
    <t xml:space="preserve">Jeonju Cathedral</t>
  </si>
  <si>
    <t xml:space="preserve">Jaman Mural Village</t>
  </si>
  <si>
    <t xml:space="preserve">Nami Island</t>
  </si>
  <si>
    <t xml:space="preserve">Strawberry picking</t>
  </si>
  <si>
    <t xml:space="preserve">Seoul &amp; Incheon</t>
  </si>
  <si>
    <t xml:space="preserve">Gyeongbokgung Palace</t>
  </si>
  <si>
    <t xml:space="preserve">✓ in hanbok</t>
  </si>
  <si>
    <t xml:space="preserve">The Blue House</t>
  </si>
  <si>
    <t xml:space="preserve">Gwanghwamun Square</t>
  </si>
  <si>
    <t xml:space="preserve">Gwangjang Market</t>
  </si>
  <si>
    <t xml:space="preserve">Eunpyeong Hanok Village</t>
  </si>
  <si>
    <t xml:space="preserve">National Folk Museum</t>
  </si>
  <si>
    <t xml:space="preserve">Starfield Library (COEX)</t>
  </si>
  <si>
    <t xml:space="preserve">Lotte World</t>
  </si>
  <si>
    <t xml:space="preserve">N Seoul Tower</t>
  </si>
  <si>
    <t xml:space="preserve">✓ cable car (outside view)</t>
  </si>
  <si>
    <t xml:space="preserve">✓ cable car</t>
  </si>
  <si>
    <t xml:space="preserve">Love Lock area</t>
  </si>
  <si>
    <t xml:space="preserve">Han River Park</t>
  </si>
  <si>
    <t xml:space="preserve">(see Yeouido)</t>
  </si>
  <si>
    <t xml:space="preserve">Myeongdong</t>
  </si>
  <si>
    <t xml:space="preserve">Hongdae</t>
  </si>
  <si>
    <t xml:space="preserve">✓ free time</t>
  </si>
  <si>
    <t xml:space="preserve">Seongsu ("Brooklyn of Seoul")</t>
  </si>
  <si>
    <t xml:space="preserve">Dongdaemun Market</t>
  </si>
  <si>
    <t xml:space="preserve">Seaweed Museum</t>
  </si>
  <si>
    <t xml:space="preserve">Samgyetang at Tosokchon</t>
  </si>
  <si>
    <t xml:space="preserve">Songwol-dong Fairy Tale Village</t>
  </si>
  <si>
    <t xml:space="preserve">Inspire Aurora Square</t>
  </si>
  <si>
    <t xml:space="preserve">Hands-on experiences</t>
  </si>
  <si>
    <t xml:space="preserve">Hanbok wearing</t>
  </si>
  <si>
    <t xml:space="preserve">✓ Jeonju</t>
  </si>
  <si>
    <t xml:space="preserve">✓ Gyeongbok</t>
  </si>
  <si>
    <t xml:space="preserve">Kimbap making</t>
  </si>
  <si>
    <t xml:space="preserve">Ramyeon making</t>
  </si>
  <si>
    <t xml:space="preserve">KTX bullet train ride</t>
  </si>
  <si>
    <t xml:space="preserve">Free day in Seoul</t>
  </si>
  <si>
    <t xml:space="preserve">Free day</t>
  </si>
  <si>
    <t xml:space="preserve">Counts</t>
  </si>
  <si>
    <t xml:space="preserve">Sights &amp; experiences included</t>
  </si>
  <si>
    <t xml:space="preserve">Photo stops / drive-bys</t>
  </si>
  <si>
    <t xml:space="preserve">Sights per guided day</t>
  </si>
  <si>
    <t xml:space="preserve">Counts include hands-on experiences but exclude shop stops and free days. Seoul cherry blossom is counted under Yeouido, not again under Han River Park.</t>
  </si>
  <si>
    <t xml:space="preserve">Sightseeing: Subjective View</t>
  </si>
  <si>
    <t xml:space="preserve">Opinion, not fact. Scores are out of 5. Change any blue score and the stars, averages and ranking update.</t>
  </si>
  <si>
    <t xml:space="preserve">Criterion</t>
  </si>
  <si>
    <t xml:space="preserve">Scores (1–5)</t>
  </si>
  <si>
    <t xml:space="preserve">Variety of sights</t>
  </si>
  <si>
    <t xml:space="preserve">Cherry blossom chance</t>
  </si>
  <si>
    <t xml:space="preserve">Culture &amp; tradition</t>
  </si>
  <si>
    <t xml:space="preserve">Nature &amp; scenery</t>
  </si>
  <si>
    <t xml:space="preserve">Hands-on / fun</t>
  </si>
  <si>
    <t xml:space="preserve">Low shopping pressure</t>
  </si>
  <si>
    <t xml:space="preserve">Uniqueness of itinerary</t>
  </si>
  <si>
    <t xml:space="preserve">AVERAGE SCORE</t>
  </si>
  <si>
    <t xml:space="preserve">Rank (1 = best)</t>
  </si>
  <si>
    <t xml:space="preserve">As stars</t>
  </si>
  <si>
    <t xml:space="preserve">In a nutshell</t>
  </si>
  <si>
    <t xml:space="preserve">Feels like</t>
  </si>
  <si>
    <t xml:space="preserve">A well-paced "best of Korea" sampler</t>
  </si>
  <si>
    <t xml:space="preserve">A romantic spring trip with plenty of retail time</t>
  </si>
  <si>
    <t xml:space="preserve">A no-frills sampler: price comes first</t>
  </si>
  <si>
    <t xml:space="preserve">A slower, experiential spring trip out of the cities</t>
  </si>
  <si>
    <t xml:space="preserve">A comfortable, Busan-focused cherry blossom trip with a playful Seoul end</t>
  </si>
  <si>
    <t xml:space="preserve">A quick Seoul getaway, not a full Korea tour</t>
  </si>
  <si>
    <t xml:space="preserve">Strengths</t>
  </si>
  <si>
    <t xml:space="preserve">Coastal Busan, a full Jeonju day, Yeouido blossoms, Namsan cable car, Hongdae</t>
  </si>
  <si>
    <t xml:space="preserve">Jinhae, Oryukdo Skywalk, Jagalchi, Nami Island, hanbok at Gyeongbok, 3 food activities</t>
  </si>
  <si>
    <t xml:space="preserve">Must-sees at the lowest price; a free day</t>
  </si>
  <si>
    <t xml:space="preserve">Plum &amp; sansuyu villages, hanok overnight, strawberries, N Seoul Tower, fewest shops</t>
  </si>
  <si>
    <t xml:space="preserve">Best-timed Jinhae, fullest Busan, Gwangjang Market, Eunpyeong Hanok, Lotte World</t>
  </si>
  <si>
    <t xml:space="preserve">Aurora Square, Fairy Tale Village, Folk Museum, direct flights</t>
  </si>
  <si>
    <t xml:space="preserve">Weaknesses</t>
  </si>
  <si>
    <t xml:space="preserve">KTX transfer right after the overnight flight; tower outside view only</t>
  </si>
  <si>
    <t xml:space="preserve">Heaviest shopping; no Jeonju or N Seoul Tower; Jinhae timing late</t>
  </si>
  <si>
    <t xml:space="preserve">Thinnest programme (~9 sights); no blossoms; hotel in Anyang</t>
  </si>
  <si>
    <t xml:space="preserve">No cherry blossom; busy first Busan day; floor bedding in Jeonju</t>
  </si>
  <si>
    <t xml:space="preserve">No Nami, Jeonju or N Seoul Tower; Lotte World takes most of a day</t>
  </si>
  <si>
    <t xml:space="preserve">No Busan or countryside; cold November; different product</t>
  </si>
  <si>
    <t xml:space="preserve">Notes &amp; Assumptions</t>
  </si>
  <si>
    <t xml:space="preserve">Inputs the price formulas depend on. Change a blue value and every sheet updates.</t>
  </si>
  <si>
    <t xml:space="preserve">Assumption</t>
  </si>
  <si>
    <t xml:space="preserve">Value</t>
  </si>
  <si>
    <t xml:space="preserve">Source / reason</t>
  </si>
  <si>
    <t xml:space="preserve">USD → IDR exchange rate</t>
  </si>
  <si>
    <t xml:space="preserve">Assumption for converting USD tipping (Obaja USD 50, Panorama USD 56). Check the current rate.</t>
  </si>
  <si>
    <t xml:space="preserve">Aviatour tipping estimate (IDR)</t>
  </si>
  <si>
    <t xml:space="preserve">Aviatour's brochure does not quote tipping. Estimated at the level other operators charge (IDR 0.9–1.0 M). Ask Aviatour.</t>
  </si>
  <si>
    <t xml:space="preserve">Obaja PPN rate</t>
  </si>
  <si>
    <t xml:space="preserve">Obaja lists PPN as excluded without a rate. Assumed 1.1%, the rate every other operator uses.</t>
  </si>
  <si>
    <t xml:space="preserve">Legend</t>
  </si>
  <si>
    <t xml:space="preserve">Blue numbers</t>
  </si>
  <si>
    <t xml:space="preserve">Figures typed in from the brochures (inputs).</t>
  </si>
  <si>
    <t xml:space="preserve">Black numbers</t>
  </si>
  <si>
    <t xml:space="preserve">Formulas: totals, all-in prices, per-day ratios, counts.</t>
  </si>
  <si>
    <t xml:space="preserve">Yellow cells</t>
  </si>
  <si>
    <t xml:space="preserve">Assumptions on this sheet: change them to re-run the comparison.</t>
  </si>
  <si>
    <t xml:space="preserve">Green → red shading</t>
  </si>
  <si>
    <t xml:space="preserve">Better → worse within a row (cheaper / more meals / more sights is greener).</t>
  </si>
  <si>
    <t xml:space="preserve">Cell comments (red corner)</t>
  </si>
  <si>
    <t xml:space="preserve">Extra detail from the brochure, e.g. hotel notes or handwritten agent quotes.</t>
  </si>
  <si>
    <t xml:space="preserve">Sources &amp; caveats</t>
  </si>
  <si>
    <t xml:space="preserve">•  Six scanned brochures from Aviatour, Bayu Buana, Obaja, Panorama JTB, Wita (Leisure Holiday) and Rotama; full transcriptions are in the itineraries/ folder.</t>
  </si>
  <si>
    <t xml:space="preserve">•  Handwritten all-in quotes by the agents (Bayu Buana, Panorama, Wita, Rotama) are shown on the Price sheet as a cross-check against the calculated all-in. Confirm them in writing.</t>
  </si>
  <si>
    <t xml:space="preserve">•  Bayu Buana page 3 (inclusions, exclusions, 07 Apr prices) was too blurred to read. Its handwritten quote is ambiguous; only Rp 28.58 M fits the printed prices.</t>
  </si>
  <si>
    <t xml:space="preserve">•  Wita's inclusions list says CGK-ICN-CGK but the itinerary flies into Busan; Lotte World entry is implied but not stated. Wita's year is not printed (presumed 2027).</t>
  </si>
  <si>
    <t xml:space="preserve">•  Bloom dates vary every year; season notes describe typical windows only.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</si>
</sst>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&quot;Rp &quot;#,##0;&quot;-Rp &quot;#,##0;\–"/>
    <numFmt numFmtId="167" formatCode="&quot;Rp &quot;0.00,,\M"/>
    <numFmt numFmtId="168" formatCode="0.0"/>
    <numFmt numFmtId="169" formatCode="&quot;Rp &quot;#,##0;&quot;-Rp &quot;#,##0;&quot;Included&quot;"/>
    <numFmt numFmtId="170" formatCode="&quot;USD &quot;0"/>
    <numFmt numFmtId="171" formatCode="0.0%"/>
    <numFmt numFmtId="172" formatCode="&quot;Rp &quot;#,##0;&quot;-Rp &quot;#,##0;&quot;Rp 0&quot;"/>
    <numFmt numFmtId="173" formatCode="0;\-0;\–"/>
    <numFmt numFmtId="174" formatCode="&quot;Rp &quot;#,##0"/>
    <numFmt numFmtId="175" formatCode="#,##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E4E8C"/>
      <name val="Calibri"/>
      <family val="0"/>
      <charset val="1"/>
    </font>
    <font>
      <b val="true"/>
      <sz val="12"/>
      <color rgb="FFA3214F"/>
      <name val="Calibri"/>
      <family val="0"/>
      <charset val="1"/>
    </font>
    <font>
      <b val="true"/>
      <sz val="12"/>
      <color rgb="FF8A6100"/>
      <name val="Calibri"/>
      <family val="0"/>
      <charset val="1"/>
    </font>
    <font>
      <b val="true"/>
      <sz val="12"/>
      <color rgb="FF2E6B34"/>
      <name val="Calibri"/>
      <family val="0"/>
      <charset val="1"/>
    </font>
    <font>
      <b val="true"/>
      <sz val="12"/>
      <color rgb="FF5B3A8C"/>
      <name val="Calibri"/>
      <family val="0"/>
      <charset val="1"/>
    </font>
    <font>
      <b val="true"/>
      <sz val="12"/>
      <color rgb="FF4B4B4B"/>
      <name val="Calibri"/>
      <family val="0"/>
      <charset val="1"/>
    </font>
    <font>
      <b val="true"/>
      <sz val="11"/>
      <color rgb="FFC2185B"/>
      <name val="Calibri"/>
      <family val="0"/>
      <charset val="1"/>
    </font>
    <font>
      <b val="true"/>
      <sz val="11"/>
      <color rgb="FF1F3A5F"/>
      <name val="Calibri"/>
      <family val="0"/>
      <charset val="1"/>
    </font>
    <font>
      <sz val="11"/>
      <color rgb="FF222222"/>
      <name val="Calibri"/>
      <family val="0"/>
      <charset val="1"/>
    </font>
    <font>
      <b val="true"/>
      <sz val="13"/>
      <color rgb="FF222222"/>
      <name val="Calibri"/>
      <family val="0"/>
      <charset val="1"/>
    </font>
    <font>
      <b val="true"/>
      <sz val="11"/>
      <color rgb="FF222222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sz val="11"/>
      <color rgb="FF1F4E9A"/>
      <name val="Calibri"/>
      <family val="0"/>
      <charset val="1"/>
    </font>
    <font>
      <b val="true"/>
      <sz val="12"/>
      <color rgb="FF222222"/>
      <name val="Calibri"/>
      <family val="0"/>
      <charset val="1"/>
    </font>
    <font>
      <sz val="10"/>
      <name val="Arial"/>
      <family val="2"/>
    </font>
    <font>
      <b val="true"/>
      <sz val="11"/>
      <color rgb="FF1F4E9A"/>
      <name val="Calibri"/>
      <family val="0"/>
      <charset val="1"/>
    </font>
    <font>
      <b val="true"/>
      <sz val="11"/>
      <color rgb="FF2E7D32"/>
      <name val="Calibri"/>
      <family val="0"/>
      <charset val="1"/>
    </font>
    <font>
      <sz val="11"/>
      <color rgb="FFC0C0C0"/>
      <name val="Calibri"/>
      <family val="0"/>
      <charset val="1"/>
    </font>
    <font>
      <i val="true"/>
      <sz val="10"/>
      <color rgb="FF8A6100"/>
      <name val="Calibri"/>
      <family val="0"/>
      <charset val="1"/>
    </font>
    <font>
      <sz val="13"/>
      <color rgb="FFD4A017"/>
      <name val="Calibri"/>
      <family val="0"/>
      <charset val="1"/>
    </font>
    <font>
      <sz val="10"/>
      <color rgb="FF333333"/>
      <name val="Calibri"/>
      <family val="0"/>
      <charset val="1"/>
    </font>
    <font>
      <sz val="10"/>
      <color rgb="FF222222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C2185B"/>
        <bgColor rgb="FFA3214F"/>
      </patternFill>
    </fill>
    <fill>
      <patternFill patternType="solid">
        <fgColor rgb="FF1F3A5F"/>
        <bgColor rgb="FF333333"/>
      </patternFill>
    </fill>
    <fill>
      <patternFill patternType="solid">
        <fgColor rgb="FFDCE8F5"/>
        <bgColor rgb="FFE7E7E7"/>
      </patternFill>
    </fill>
    <fill>
      <patternFill patternType="solid">
        <fgColor rgb="FFFADADD"/>
        <bgColor rgb="FFFCE4EC"/>
      </patternFill>
    </fill>
    <fill>
      <patternFill patternType="solid">
        <fgColor rgb="FFFFF1CC"/>
        <bgColor rgb="FFFFF8D6"/>
      </patternFill>
    </fill>
    <fill>
      <patternFill patternType="solid">
        <fgColor rgb="FFDDEFDF"/>
        <bgColor rgb="FFE7E7E7"/>
      </patternFill>
    </fill>
    <fill>
      <patternFill patternType="solid">
        <fgColor rgb="FFE9E0F5"/>
        <bgColor rgb="FFE7E7E7"/>
      </patternFill>
    </fill>
    <fill>
      <patternFill patternType="solid">
        <fgColor rgb="FFE7E7E7"/>
        <bgColor rgb="FFE9E0F5"/>
      </patternFill>
    </fill>
    <fill>
      <patternFill patternType="solid">
        <fgColor rgb="FFFCE4EC"/>
        <bgColor rgb="FFFADADD"/>
      </patternFill>
    </fill>
    <fill>
      <patternFill patternType="solid">
        <fgColor rgb="FFFFFBF7"/>
        <bgColor rgb="FFFBF7F9"/>
      </patternFill>
    </fill>
    <fill>
      <patternFill patternType="solid">
        <fgColor rgb="FFFFFFFF"/>
        <bgColor rgb="FFFFFBF7"/>
      </patternFill>
    </fill>
    <fill>
      <patternFill patternType="solid">
        <fgColor rgb="FFFBF7F9"/>
        <bgColor rgb="FFFFFBF7"/>
      </patternFill>
    </fill>
    <fill>
      <patternFill patternType="solid">
        <fgColor rgb="FFF1F1F1"/>
        <bgColor rgb="FFEAF5EA"/>
      </patternFill>
    </fill>
    <fill>
      <patternFill patternType="solid">
        <fgColor rgb="FFEAF5EA"/>
        <bgColor rgb="FFF1F1F1"/>
      </patternFill>
    </fill>
    <fill>
      <patternFill patternType="solid">
        <fgColor rgb="FFFFF8D6"/>
        <bgColor rgb="FFFFF1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D9DE"/>
      </left>
      <right style="thin">
        <color rgb="FFE8D9DE"/>
      </right>
      <top style="thin">
        <color rgb="FFE8D9DE"/>
      </top>
      <bottom style="thin">
        <color rgb="FFE8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6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22" fillId="1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4" fontId="22" fillId="1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22" fillId="1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F1F1"/>
      <rgbColor rgb="FFFF00FF"/>
      <rgbColor rgb="FF00FFFF"/>
      <rgbColor rgb="FF800000"/>
      <rgbColor rgb="FF2E6B34"/>
      <rgbColor rgb="FF000080"/>
      <rgbColor rgb="FF8A6100"/>
      <rgbColor rgb="FF800080"/>
      <rgbColor rgb="FF1E4E8C"/>
      <rgbColor rgb="FFC0C0C0"/>
      <rgbColor rgb="FF8E5BB5"/>
      <rgbColor rgb="FF9999FF"/>
      <rgbColor rgb="FFA3214F"/>
      <rgbColor rgb="FFFFF8D6"/>
      <rgbColor rgb="FFEAF5EA"/>
      <rgbColor rgb="FF660066"/>
      <rgbColor rgb="FFFF8080"/>
      <rgbColor rgb="FF1F4E9A"/>
      <rgbColor rgb="FFE8D9DE"/>
      <rgbColor rgb="FF000080"/>
      <rgbColor rgb="FFFF00FF"/>
      <rgbColor rgb="FFFFFBF7"/>
      <rgbColor rgb="FF00FFFF"/>
      <rgbColor rgb="FF800080"/>
      <rgbColor rgb="FF800000"/>
      <rgbColor rgb="FF008080"/>
      <rgbColor rgb="FF0000FF"/>
      <rgbColor rgb="FF00CCFF"/>
      <rgbColor rgb="FFDCE8F5"/>
      <rgbColor rgb="FFDDEFDF"/>
      <rgbColor rgb="FFFFF1CC"/>
      <rgbColor rgb="FFE9E0F5"/>
      <rgbColor rgb="FFFCE4EC"/>
      <rgbColor rgb="FFE7E7E7"/>
      <rgbColor rgb="FFFADADD"/>
      <rgbColor rgb="FF3366FF"/>
      <rgbColor rgb="FF33CCCC"/>
      <rgbColor rgb="FF99CC00"/>
      <rgbColor rgb="FFFBF7F9"/>
      <rgbColor rgb="FFD4A017"/>
      <rgbColor rgb="FFFF6600"/>
      <rgbColor rgb="FF6B7280"/>
      <rgbColor rgb="FF9CA3AF"/>
      <rgbColor rgb="FF1F3A5F"/>
      <rgbColor rgb="FF2E7D32"/>
      <rgbColor rgb="FF4B4B4B"/>
      <rgbColor rgb="FF222222"/>
      <rgbColor rgb="FF993300"/>
      <rgbColor rgb="FFC2185B"/>
      <rgbColor rgb="FF5B3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185B"/>
    <pageSetUpPr fitToPage="true"/>
  </sheetPr>
  <dimension ref="A1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5" customFormat="false" ht="25.5" hidden="false" customHeight="true" outlineLevel="0" collapsed="false">
      <c r="A5" s="4" t="s">
        <v>2</v>
      </c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10" t="s">
        <v>8</v>
      </c>
    </row>
    <row r="6" customFormat="false" ht="21.75" hidden="false" customHeight="true" outlineLevel="0" collapsed="false">
      <c r="A6" s="11" t="s">
        <v>9</v>
      </c>
      <c r="B6" s="11"/>
      <c r="C6" s="11"/>
      <c r="D6" s="11"/>
      <c r="E6" s="11"/>
      <c r="F6" s="11"/>
      <c r="G6" s="11"/>
    </row>
    <row r="7" customFormat="false" ht="31.5" hidden="false" customHeight="true" outlineLevel="0" collapsed="false">
      <c r="A7" s="12" t="s">
        <v>10</v>
      </c>
      <c r="B7" s="13" t="str">
        <f aca="false">'Days &amp; Flights'!B7</f>
        <v>04 Apr 2027 (also 08 Apr)</v>
      </c>
      <c r="C7" s="13" t="str">
        <f aca="false">'Days &amp; Flights'!C7</f>
        <v>05 / 06 / 07 Apr 2027</v>
      </c>
      <c r="D7" s="13" t="str">
        <f aca="false">'Days &amp; Flights'!D7</f>
        <v>16 Mar 2027</v>
      </c>
      <c r="E7" s="13" t="str">
        <f aca="false">'Days &amp; Flights'!E7</f>
        <v>16 Mar 2027</v>
      </c>
      <c r="F7" s="13" t="str">
        <f aca="false">'Days &amp; Flights'!F7</f>
        <v>26 Mar (2027, presumed)</v>
      </c>
      <c r="G7" s="13" t="str">
        <f aca="false">'Days &amp; Flights'!G7</f>
        <v>11 Nov (2026)</v>
      </c>
    </row>
    <row r="8" customFormat="false" ht="21" hidden="false" customHeight="true" outlineLevel="0" collapsed="false">
      <c r="A8" s="12" t="s">
        <v>11</v>
      </c>
      <c r="B8" s="13" t="str">
        <f aca="false">'Days &amp; Flights'!B9&amp;"D / "&amp;'Days &amp; Flights'!B10&amp;"N"</f>
        <v>7D / 5N</v>
      </c>
      <c r="C8" s="13" t="str">
        <f aca="false">'Days &amp; Flights'!C9&amp;"D / "&amp;'Days &amp; Flights'!C10&amp;"N"</f>
        <v>7D / 5N</v>
      </c>
      <c r="D8" s="13" t="str">
        <f aca="false">'Days &amp; Flights'!D9&amp;"D / "&amp;'Days &amp; Flights'!D10&amp;"N"</f>
        <v>7D / 5N</v>
      </c>
      <c r="E8" s="13" t="str">
        <f aca="false">'Days &amp; Flights'!E9&amp;"D / "&amp;'Days &amp; Flights'!E10&amp;"N"</f>
        <v>8D / 6N</v>
      </c>
      <c r="F8" s="13" t="str">
        <f aca="false">'Days &amp; Flights'!F9&amp;"D / "&amp;'Days &amp; Flights'!F10&amp;"N"</f>
        <v>7D / 5N</v>
      </c>
      <c r="G8" s="13" t="str">
        <f aca="false">'Days &amp; Flights'!G9&amp;"D / "&amp;'Days &amp; Flights'!G10&amp;"N"</f>
        <v>5D / 3N</v>
      </c>
    </row>
    <row r="9" customFormat="false" ht="21" hidden="false" customHeight="true" outlineLevel="0" collapsed="false">
      <c r="A9" s="12" t="s">
        <v>12</v>
      </c>
      <c r="B9" s="14" t="n">
        <f aca="false">'Days &amp; Flights'!B11</f>
        <v>5</v>
      </c>
      <c r="C9" s="14" t="n">
        <f aca="false">'Days &amp; Flights'!C11</f>
        <v>5</v>
      </c>
      <c r="D9" s="14" t="n">
        <f aca="false">'Days &amp; Flights'!D11</f>
        <v>4</v>
      </c>
      <c r="E9" s="14" t="n">
        <f aca="false">'Days &amp; Flights'!E11</f>
        <v>5</v>
      </c>
      <c r="F9" s="14" t="n">
        <f aca="false">'Days &amp; Flights'!F11</f>
        <v>5</v>
      </c>
      <c r="G9" s="14" t="n">
        <f aca="false">'Days &amp; Flights'!G11</f>
        <v>3</v>
      </c>
    </row>
    <row r="10" customFormat="false" ht="31.5" hidden="false" customHeight="true" outlineLevel="0" collapsed="false">
      <c r="A10" s="12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19</v>
      </c>
    </row>
    <row r="11" customFormat="false" ht="31.5" hidden="false" customHeight="true" outlineLevel="0" collapsed="false">
      <c r="A11" s="12" t="s">
        <v>20</v>
      </c>
      <c r="B11" s="13" t="str">
        <f aca="false">'Days &amp; Flights'!B14</f>
        <v>Singapore Airlines</v>
      </c>
      <c r="C11" s="13" t="str">
        <f aca="false">'Days &amp; Flights'!C14</f>
        <v>Singapore Airlines</v>
      </c>
      <c r="D11" s="13" t="str">
        <f aca="false">'Days &amp; Flights'!D14</f>
        <v>Singapore Airlines</v>
      </c>
      <c r="E11" s="13" t="str">
        <f aca="false">'Days &amp; Flights'!E14</f>
        <v>Singapore Airlines</v>
      </c>
      <c r="F11" s="13" t="str">
        <f aca="false">'Days &amp; Flights'!F14</f>
        <v>Singapore Airlines</v>
      </c>
      <c r="G11" s="13" t="str">
        <f aca="false">'Days &amp; Flights'!G14</f>
        <v>Trinity Airways (TW, ex-T'way)</v>
      </c>
    </row>
    <row r="12" customFormat="false" ht="43.5" hidden="false" customHeight="true" outlineLevel="0" collapsed="false">
      <c r="A12" s="12" t="s">
        <v>21</v>
      </c>
      <c r="B12" s="13" t="str">
        <f aca="false">'Days &amp; Flights'!B19</f>
        <v>Incheon in &amp; out; KTX train to Busan on Day 2</v>
      </c>
      <c r="C12" s="13" t="str">
        <f aca="false">'Days &amp; Flights'!C19</f>
        <v>Open-jaw: Busan in, Incheon out</v>
      </c>
      <c r="D12" s="13" t="str">
        <f aca="false">'Days &amp; Flights'!D19</f>
        <v>Open-jaw: Busan in, Incheon out</v>
      </c>
      <c r="E12" s="13" t="str">
        <f aca="false">'Days &amp; Flights'!E19</f>
        <v>Open-jaw: Busan in, Incheon out</v>
      </c>
      <c r="F12" s="13" t="str">
        <f aca="false">'Days &amp; Flights'!F19</f>
        <v>Open-jaw: Busan in, Incheon out; KTX Busan → Seoul</v>
      </c>
      <c r="G12" s="13" t="str">
        <f aca="false">'Days &amp; Flights'!G19</f>
        <v>Direct, no transit</v>
      </c>
    </row>
    <row r="13" customFormat="false" ht="57.75" hidden="false" customHeight="true" outlineLevel="0" collapsed="false">
      <c r="A13" s="12" t="s">
        <v>22</v>
      </c>
      <c r="B13" s="13" t="str">
        <f aca="false">'Days &amp; Flights'!B23</f>
        <v>Cherry blossom: Seoul Yeouido near peak; Busan may be fading</v>
      </c>
      <c r="C13" s="13" t="str">
        <f aca="false">'Days &amp; Flights'!C23</f>
        <v>Jinhae on 8 Apr is late in its peak window (riskier)</v>
      </c>
      <c r="D13" s="13" t="str">
        <f aca="false">'Days &amp; Flights'!D23</f>
        <v>Early spring: before cherry blossom</v>
      </c>
      <c r="E13" s="13" t="str">
        <f aca="false">'Days &amp; Flights'!E23</f>
        <v>Plum &amp; sansuyu blossoms (what the tour is built for); no cherry blossom</v>
      </c>
      <c r="F13" s="13" t="str">
        <f aca="false">'Days &amp; Flights'!F23</f>
        <v>Jinhae on 28 Mar sits in its usual peak window; Seoul may be early</v>
      </c>
      <c r="G13" s="13" t="str">
        <f aca="false">'Days &amp; Flights'!G23</f>
        <v>Late autumn, cold; foliage likely past peak</v>
      </c>
    </row>
    <row r="14" customFormat="false" ht="21.75" hidden="false" customHeight="true" outlineLevel="0" collapsed="false">
      <c r="A14" s="11" t="s">
        <v>23</v>
      </c>
      <c r="B14" s="11"/>
      <c r="C14" s="11"/>
      <c r="D14" s="11"/>
      <c r="E14" s="11"/>
      <c r="F14" s="11"/>
      <c r="G14" s="11"/>
    </row>
    <row r="15" customFormat="false" ht="21" hidden="false" customHeight="true" outlineLevel="0" collapsed="false">
      <c r="A15" s="12" t="s">
        <v>24</v>
      </c>
      <c r="B15" s="15" t="n">
        <f aca="false">Price!B7</f>
        <v>23390000</v>
      </c>
      <c r="C15" s="15" t="n">
        <f aca="false">Price!C7</f>
        <v>26888000</v>
      </c>
      <c r="D15" s="15" t="n">
        <f aca="false">Price!D7</f>
        <v>17900000</v>
      </c>
      <c r="E15" s="15" t="n">
        <f aca="false">Price!E7</f>
        <v>23190000</v>
      </c>
      <c r="F15" s="15" t="n">
        <f aca="false">Price!F7</f>
        <v>26350000</v>
      </c>
      <c r="G15" s="15" t="n">
        <f aca="false">Price!G7</f>
        <v>10290000</v>
      </c>
    </row>
    <row r="16" customFormat="false" ht="30" hidden="false" customHeight="true" outlineLevel="0" collapsed="false">
      <c r="A16" s="12" t="s">
        <v>25</v>
      </c>
      <c r="B16" s="16" t="n">
        <f aca="false">Price!B23</f>
        <v>26947290</v>
      </c>
      <c r="C16" s="16" t="n">
        <f aca="false">Price!C23</f>
        <v>28583768</v>
      </c>
      <c r="D16" s="16" t="n">
        <f aca="false">Price!D23</f>
        <v>19521900</v>
      </c>
      <c r="E16" s="16" t="n">
        <f aca="false">Price!E23</f>
        <v>25650090</v>
      </c>
      <c r="F16" s="16" t="n">
        <f aca="false">Price!F23</f>
        <v>28954850</v>
      </c>
      <c r="G16" s="16" t="n">
        <f aca="false">Price!G23</f>
        <v>11303190</v>
      </c>
    </row>
    <row r="17" customFormat="false" ht="21" hidden="false" customHeight="true" outlineLevel="0" collapsed="false">
      <c r="A17" s="12" t="s">
        <v>26</v>
      </c>
      <c r="B17" s="14" t="n">
        <f aca="false">Price!B26</f>
        <v>4</v>
      </c>
      <c r="C17" s="14" t="n">
        <f aca="false">Price!C26</f>
        <v>5</v>
      </c>
      <c r="D17" s="14" t="n">
        <f aca="false">Price!D26</f>
        <v>2</v>
      </c>
      <c r="E17" s="14" t="n">
        <f aca="false">Price!E26</f>
        <v>3</v>
      </c>
      <c r="F17" s="14" t="n">
        <f aca="false">Price!F26</f>
        <v>6</v>
      </c>
      <c r="G17" s="14" t="n">
        <f aca="false">Price!G26</f>
        <v>1</v>
      </c>
    </row>
    <row r="18" customFormat="false" ht="21" hidden="false" customHeight="true" outlineLevel="0" collapsed="false">
      <c r="A18" s="12" t="s">
        <v>27</v>
      </c>
      <c r="B18" s="17" t="n">
        <f aca="false">Price!B28</f>
        <v>3849612.85714286</v>
      </c>
      <c r="C18" s="17" t="n">
        <f aca="false">Price!C28</f>
        <v>4083395.42857143</v>
      </c>
      <c r="D18" s="17" t="n">
        <f aca="false">Price!D28</f>
        <v>2788842.85714286</v>
      </c>
      <c r="E18" s="17" t="n">
        <f aca="false">Price!E28</f>
        <v>3206261.25</v>
      </c>
      <c r="F18" s="17" t="n">
        <f aca="false">Price!F28</f>
        <v>4136407.14285714</v>
      </c>
      <c r="G18" s="17" t="n">
        <f aca="false">Price!G28</f>
        <v>2260638</v>
      </c>
    </row>
    <row r="19" customFormat="false" ht="21" hidden="false" customHeight="true" outlineLevel="0" collapsed="false">
      <c r="A19" s="12" t="s">
        <v>28</v>
      </c>
      <c r="B19" s="15" t="n">
        <f aca="false">Price!B12</f>
        <v>6000000</v>
      </c>
      <c r="C19" s="15" t="n">
        <f aca="false">Price!C12</f>
        <v>7000000</v>
      </c>
      <c r="D19" s="15" t="n">
        <f aca="false">Price!D12</f>
        <v>8000000</v>
      </c>
      <c r="E19" s="15" t="n">
        <f aca="false">Price!E12</f>
        <v>8000000</v>
      </c>
      <c r="F19" s="15" t="n">
        <f aca="false">Price!F12</f>
        <v>7500000</v>
      </c>
      <c r="G19" s="15" t="n">
        <f aca="false">Price!G12</f>
        <v>3000000</v>
      </c>
    </row>
    <row r="20" customFormat="false" ht="21.75" hidden="false" customHeight="true" outlineLevel="0" collapsed="false">
      <c r="A20" s="11" t="s">
        <v>29</v>
      </c>
      <c r="B20" s="11"/>
      <c r="C20" s="11"/>
      <c r="D20" s="11"/>
      <c r="E20" s="11"/>
      <c r="F20" s="11"/>
      <c r="G20" s="11"/>
    </row>
    <row r="21" customFormat="false" ht="31.5" hidden="false" customHeight="true" outlineLevel="0" collapsed="false">
      <c r="A21" s="12" t="s">
        <v>30</v>
      </c>
      <c r="B21" s="13" t="str">
        <f aca="false">Hotels!B7</f>
        <v>3★ or equivalent</v>
      </c>
      <c r="C21" s="13" t="str">
        <f aca="false">Hotels!C7</f>
        <v>"Superior Class" (no stars stated)</v>
      </c>
      <c r="D21" s="13" t="str">
        <f aca="false">Hotels!D7</f>
        <v>3★</v>
      </c>
      <c r="E21" s="13" t="str">
        <f aca="false">Hotels!E7</f>
        <v>Not stated (named hotels)</v>
      </c>
      <c r="F21" s="13" t="str">
        <f aca="false">Hotels!F7</f>
        <v>4★</v>
      </c>
      <c r="G21" s="13" t="str">
        <f aca="false">Hotels!G7</f>
        <v>3★</v>
      </c>
    </row>
    <row r="22" customFormat="false" ht="43.5" hidden="false" customHeight="true" outlineLevel="0" collapsed="false">
      <c r="A22" s="12" t="s">
        <v>31</v>
      </c>
      <c r="B22" s="13" t="str">
        <f aca="false">Hotels!B10</f>
        <v>3 nights · 3★, "Seoul or nearby"</v>
      </c>
      <c r="C22" s="13" t="str">
        <f aca="false">Hotels!C10</f>
        <v>3 nights · unnamed</v>
      </c>
      <c r="D22" s="13" t="str">
        <f aca="false">Hotels!D10</f>
        <v>4 nights · Anyang Samwon Hotel</v>
      </c>
      <c r="E22" s="13" t="str">
        <f aca="false">Hotels!E10</f>
        <v>4 nights · Baiton Dongdaemun Hotel</v>
      </c>
      <c r="F22" s="13" t="str">
        <f aca="false">Hotels!F10</f>
        <v>3 nights · Migliore Hotel</v>
      </c>
      <c r="G22" s="13" t="str">
        <f aca="false">Hotels!G10</f>
        <v>3 nights · Samwon Plaza Hotel</v>
      </c>
    </row>
    <row r="23" customFormat="false" ht="21" hidden="false" customHeight="true" outlineLevel="0" collapsed="false">
      <c r="A23" s="12" t="s">
        <v>32</v>
      </c>
      <c r="B23" s="14" t="n">
        <f aca="false">Hotels!B13</f>
        <v>5</v>
      </c>
      <c r="C23" s="14" t="n">
        <f aca="false">Hotels!C13</f>
        <v>6</v>
      </c>
      <c r="D23" s="14" t="n">
        <f aca="false">Hotels!D13</f>
        <v>3</v>
      </c>
      <c r="E23" s="14" t="n">
        <f aca="false">Hotels!E13</f>
        <v>2</v>
      </c>
      <c r="F23" s="14" t="n">
        <f aca="false">Hotels!F13</f>
        <v>1</v>
      </c>
      <c r="G23" s="14" t="n">
        <f aca="false">Hotels!G13</f>
        <v>4</v>
      </c>
    </row>
    <row r="24" customFormat="false" ht="21" hidden="false" customHeight="true" outlineLevel="0" collapsed="false">
      <c r="A24" s="12" t="s">
        <v>33</v>
      </c>
      <c r="B24" s="18" t="n">
        <f aca="false">Meals!B19</f>
        <v>12</v>
      </c>
      <c r="C24" s="18" t="n">
        <f aca="false">Meals!C19</f>
        <v>10</v>
      </c>
      <c r="D24" s="18" t="n">
        <f aca="false">Meals!D19</f>
        <v>8</v>
      </c>
      <c r="E24" s="18" t="n">
        <f aca="false">Meals!E19</f>
        <v>14</v>
      </c>
      <c r="F24" s="18" t="n">
        <f aca="false">Meals!F19</f>
        <v>11</v>
      </c>
      <c r="G24" s="18" t="n">
        <f aca="false">Meals!G19</f>
        <v>3</v>
      </c>
    </row>
    <row r="25" customFormat="false" ht="31.5" hidden="false" customHeight="true" outlineLevel="0" collapsed="false">
      <c r="A25" s="12" t="s">
        <v>34</v>
      </c>
      <c r="B25" s="13" t="str">
        <f aca="false">'Days &amp; Flights'!B20</f>
        <v>20 kg + 7 kg cabin</v>
      </c>
      <c r="C25" s="13" t="str">
        <f aca="false">'Days &amp; Flights'!C20</f>
        <v>Not legible (free cabin suitcase gift)</v>
      </c>
      <c r="D25" s="13" t="str">
        <f aca="false">'Days &amp; Flights'!D20</f>
        <v>25 kg + 7 kg cabin</v>
      </c>
      <c r="E25" s="13" t="str">
        <f aca="false">'Days &amp; Flights'!E20</f>
        <v>Not stated</v>
      </c>
      <c r="F25" s="13" t="str">
        <f aca="false">'Days &amp; Flights'!F20</f>
        <v>Per airline rules</v>
      </c>
      <c r="G25" s="13" t="str">
        <f aca="false">'Days &amp; Flights'!G20</f>
        <v>Per airline rules (low-cost: check)</v>
      </c>
    </row>
    <row r="26" customFormat="false" ht="21" hidden="false" customHeight="true" outlineLevel="0" collapsed="false">
      <c r="A26" s="12" t="s">
        <v>35</v>
      </c>
      <c r="B26" s="14" t="n">
        <f aca="false">Terms!B8</f>
        <v>5</v>
      </c>
      <c r="C26" s="14" t="n">
        <f aca="false">Terms!C8</f>
        <v>6</v>
      </c>
      <c r="D26" s="14" t="n">
        <f aca="false">Terms!D8</f>
        <v>5</v>
      </c>
      <c r="E26" s="14" t="n">
        <f aca="false">Terms!E8</f>
        <v>4</v>
      </c>
      <c r="F26" s="14" t="n">
        <f aca="false">Terms!F8</f>
        <v>4</v>
      </c>
      <c r="G26" s="14" t="n">
        <f aca="false">Terms!G8</f>
        <v>4</v>
      </c>
    </row>
    <row r="27" customFormat="false" ht="21.75" hidden="false" customHeight="true" outlineLevel="0" collapsed="false">
      <c r="A27" s="11" t="s">
        <v>36</v>
      </c>
      <c r="B27" s="11"/>
      <c r="C27" s="11"/>
      <c r="D27" s="11"/>
      <c r="E27" s="11"/>
      <c r="F27" s="11"/>
      <c r="G27" s="11"/>
    </row>
    <row r="28" customFormat="false" ht="21" hidden="false" customHeight="true" outlineLevel="0" collapsed="false">
      <c r="A28" s="12" t="s">
        <v>37</v>
      </c>
      <c r="B28" s="18" t="n">
        <f aca="false">Sightseeing!B56</f>
        <v>18</v>
      </c>
      <c r="C28" s="18" t="n">
        <f aca="false">Sightseeing!C56</f>
        <v>15</v>
      </c>
      <c r="D28" s="18" t="n">
        <f aca="false">Sightseeing!D56</f>
        <v>9</v>
      </c>
      <c r="E28" s="18" t="n">
        <f aca="false">Sightseeing!E56</f>
        <v>19</v>
      </c>
      <c r="F28" s="18" t="n">
        <f aca="false">Sightseeing!F56</f>
        <v>18</v>
      </c>
      <c r="G28" s="18" t="n">
        <f aca="false">Sightseeing!G56</f>
        <v>13</v>
      </c>
    </row>
    <row r="29" customFormat="false" ht="21" hidden="false" customHeight="true" outlineLevel="0" collapsed="false">
      <c r="A29" s="12" t="s">
        <v>38</v>
      </c>
      <c r="B29" s="19" t="n">
        <f aca="false">'Sightseeing Opinion'!B14</f>
        <v>3.85714285714286</v>
      </c>
      <c r="C29" s="19" t="n">
        <f aca="false">'Sightseeing Opinion'!C14</f>
        <v>3.57142857142857</v>
      </c>
      <c r="D29" s="19" t="n">
        <f aca="false">'Sightseeing Opinion'!D14</f>
        <v>2.14285714285714</v>
      </c>
      <c r="E29" s="19" t="n">
        <f aca="false">'Sightseeing Opinion'!E14</f>
        <v>4.14285714285714</v>
      </c>
      <c r="F29" s="19" t="n">
        <f aca="false">'Sightseeing Opinion'!F14</f>
        <v>4</v>
      </c>
      <c r="G29" s="19" t="n">
        <f aca="false">'Sightseeing Opinion'!G14</f>
        <v>2.42857142857143</v>
      </c>
    </row>
    <row r="31" customFormat="false" ht="21.75" hidden="false" customHeight="true" outlineLevel="0" collapsed="false">
      <c r="A31" s="11" t="s">
        <v>39</v>
      </c>
      <c r="B31" s="11"/>
      <c r="C31" s="11"/>
      <c r="D31" s="11"/>
      <c r="E31" s="11"/>
      <c r="F31" s="11"/>
      <c r="G31" s="11"/>
    </row>
    <row r="32" customFormat="false" ht="21.75" hidden="false" customHeight="true" outlineLevel="0" collapsed="false">
      <c r="A32" s="12" t="s">
        <v>40</v>
      </c>
      <c r="B32" s="20" t="s">
        <v>41</v>
      </c>
      <c r="C32" s="20"/>
      <c r="D32" s="20"/>
      <c r="E32" s="20"/>
      <c r="F32" s="20"/>
      <c r="G32" s="20"/>
    </row>
    <row r="33" customFormat="false" ht="21.75" hidden="false" customHeight="true" outlineLevel="0" collapsed="false">
      <c r="A33" s="12" t="s">
        <v>42</v>
      </c>
      <c r="B33" s="20" t="s">
        <v>43</v>
      </c>
      <c r="C33" s="20"/>
      <c r="D33" s="20"/>
      <c r="E33" s="20"/>
      <c r="F33" s="20"/>
      <c r="G33" s="20"/>
    </row>
    <row r="34" customFormat="false" ht="21.75" hidden="false" customHeight="true" outlineLevel="0" collapsed="false">
      <c r="A34" s="12" t="s">
        <v>44</v>
      </c>
      <c r="B34" s="20" t="s">
        <v>45</v>
      </c>
      <c r="C34" s="20"/>
      <c r="D34" s="20"/>
      <c r="E34" s="20"/>
      <c r="F34" s="20"/>
      <c r="G34" s="20"/>
    </row>
    <row r="35" customFormat="false" ht="21.75" hidden="false" customHeight="true" outlineLevel="0" collapsed="false">
      <c r="A35" s="12" t="s">
        <v>46</v>
      </c>
      <c r="B35" s="20" t="s">
        <v>47</v>
      </c>
      <c r="C35" s="20"/>
      <c r="D35" s="20"/>
      <c r="E35" s="20"/>
      <c r="F35" s="20"/>
      <c r="G35" s="20"/>
    </row>
    <row r="36" customFormat="false" ht="21.75" hidden="false" customHeight="true" outlineLevel="0" collapsed="false">
      <c r="A36" s="12" t="s">
        <v>48</v>
      </c>
      <c r="B36" s="20" t="s">
        <v>49</v>
      </c>
      <c r="C36" s="20"/>
      <c r="D36" s="20"/>
      <c r="E36" s="20"/>
      <c r="F36" s="20"/>
      <c r="G36" s="20"/>
    </row>
    <row r="37" customFormat="false" ht="21.75" hidden="false" customHeight="true" outlineLevel="0" collapsed="false">
      <c r="A37" s="12" t="s">
        <v>50</v>
      </c>
      <c r="B37" s="20" t="s">
        <v>51</v>
      </c>
      <c r="C37" s="20"/>
      <c r="D37" s="20"/>
      <c r="E37" s="20"/>
      <c r="F37" s="20"/>
      <c r="G37" s="20"/>
    </row>
    <row r="38" customFormat="false" ht="21.75" hidden="false" customHeight="true" outlineLevel="0" collapsed="false">
      <c r="A38" s="12" t="s">
        <v>52</v>
      </c>
      <c r="B38" s="20" t="s">
        <v>6</v>
      </c>
      <c r="C38" s="20"/>
      <c r="D38" s="20"/>
      <c r="E38" s="20"/>
      <c r="F38" s="20"/>
      <c r="G38" s="20"/>
    </row>
    <row r="40" customFormat="false" ht="30" hidden="false" customHeight="true" outlineLevel="0" collapsed="false">
      <c r="A40" s="21" t="s">
        <v>53</v>
      </c>
      <c r="B40" s="21"/>
      <c r="C40" s="21"/>
      <c r="D40" s="21"/>
      <c r="E40" s="21"/>
      <c r="F40" s="21"/>
      <c r="G40" s="21"/>
    </row>
  </sheetData>
  <mergeCells count="15">
    <mergeCell ref="A1:G1"/>
    <mergeCell ref="A2:G2"/>
    <mergeCell ref="A6:G6"/>
    <mergeCell ref="A14:G14"/>
    <mergeCell ref="A20:G20"/>
    <mergeCell ref="A27:G27"/>
    <mergeCell ref="A31:G31"/>
    <mergeCell ref="B32:G32"/>
    <mergeCell ref="B33:G33"/>
    <mergeCell ref="B34:G34"/>
    <mergeCell ref="B35:G35"/>
    <mergeCell ref="B36:G36"/>
    <mergeCell ref="B37:G37"/>
    <mergeCell ref="B38:G38"/>
    <mergeCell ref="A40:G40"/>
  </mergeCells>
  <conditionalFormatting sqref="B16:G16">
    <cfRule type="colorScale" priority="2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conditionalFormatting sqref="B18:G18">
    <cfRule type="colorScale" priority="3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conditionalFormatting sqref="B19:G19">
    <cfRule type="colorScale" priority="4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conditionalFormatting sqref="B23:G23">
    <cfRule type="colorScale" priority="5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conditionalFormatting sqref="B24:G24">
    <cfRule type="colorScale" priority="6">
      <colorScale>
        <cfvo type="min" val="0"/>
        <cfvo type="percentile" val="50"/>
        <cfvo type="max" val="0"/>
        <color rgb="FFF8C8C8"/>
        <color rgb="FFFFF4CC"/>
        <color rgb="FFC8E6C9"/>
      </colorScale>
    </cfRule>
  </conditionalFormatting>
  <conditionalFormatting sqref="B26:G26">
    <cfRule type="colorScale" priority="7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conditionalFormatting sqref="B28:G28">
    <cfRule type="colorScale" priority="8">
      <colorScale>
        <cfvo type="min" val="0"/>
        <cfvo type="percentile" val="50"/>
        <cfvo type="max" val="0"/>
        <color rgb="FFF8C8C8"/>
        <color rgb="FFFFF4CC"/>
        <color rgb="FFC8E6C9"/>
      </colorScale>
    </cfRule>
  </conditionalFormatting>
  <conditionalFormatting sqref="B29:G29">
    <cfRule type="colorScale" priority="9">
      <colorScale>
        <cfvo type="min" val="0"/>
        <cfvo type="percentile" val="50"/>
        <cfvo type="max" val="0"/>
        <color rgb="FFF8C8C8"/>
        <color rgb="FFFFF4CC"/>
        <color rgb="FFC8E6C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54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55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5" customFormat="false" ht="25.5" hidden="false" customHeight="true" outlineLevel="0" collapsed="false">
      <c r="A5" s="4" t="s">
        <v>2</v>
      </c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10" t="s">
        <v>8</v>
      </c>
    </row>
    <row r="6" customFormat="false" ht="21.75" hidden="false" customHeight="true" outlineLevel="0" collapsed="false">
      <c r="A6" s="11" t="s">
        <v>56</v>
      </c>
      <c r="B6" s="11"/>
      <c r="C6" s="11"/>
      <c r="D6" s="11"/>
      <c r="E6" s="11"/>
      <c r="F6" s="11"/>
      <c r="G6" s="11"/>
    </row>
    <row r="7" customFormat="false" ht="21" hidden="false" customHeight="true" outlineLevel="0" collapsed="false">
      <c r="A7" s="12" t="s">
        <v>57</v>
      </c>
      <c r="B7" s="22" t="n">
        <v>23390000</v>
      </c>
      <c r="C7" s="22" t="n">
        <v>26888000</v>
      </c>
      <c r="D7" s="22" t="n">
        <v>17900000</v>
      </c>
      <c r="E7" s="22" t="n">
        <v>23190000</v>
      </c>
      <c r="F7" s="22" t="n">
        <v>26350000</v>
      </c>
      <c r="G7" s="22" t="n">
        <v>10290000</v>
      </c>
    </row>
    <row r="8" customFormat="false" ht="21" hidden="false" customHeight="true" outlineLevel="0" collapsed="false">
      <c r="A8" s="12" t="s">
        <v>58</v>
      </c>
      <c r="B8" s="22" t="n">
        <v>23390000</v>
      </c>
      <c r="C8" s="22" t="n">
        <v>26888000</v>
      </c>
      <c r="D8" s="22" t="n">
        <v>17900000</v>
      </c>
      <c r="E8" s="22" t="n">
        <v>23190000</v>
      </c>
      <c r="F8" s="22" t="n">
        <v>26350000</v>
      </c>
      <c r="G8" s="22" t="n">
        <v>10290000</v>
      </c>
    </row>
    <row r="9" customFormat="false" ht="21" hidden="false" customHeight="true" outlineLevel="0" collapsed="false">
      <c r="A9" s="12" t="s">
        <v>59</v>
      </c>
      <c r="B9" s="22" t="n">
        <v>23390000</v>
      </c>
      <c r="C9" s="22" t="n">
        <v>26388000</v>
      </c>
      <c r="D9" s="22" t="n">
        <v>17900000</v>
      </c>
      <c r="E9" s="22" t="n">
        <v>22190000</v>
      </c>
      <c r="F9" s="22" t="n">
        <v>26350000</v>
      </c>
      <c r="G9" s="22" t="n">
        <v>10290000</v>
      </c>
    </row>
    <row r="10" customFormat="false" ht="21" hidden="false" customHeight="true" outlineLevel="0" collapsed="false">
      <c r="A10" s="12" t="s">
        <v>60</v>
      </c>
      <c r="B10" s="22" t="n">
        <v>22890000</v>
      </c>
      <c r="C10" s="22" t="n">
        <v>25888000</v>
      </c>
      <c r="D10" s="22" t="n">
        <v>17500000</v>
      </c>
      <c r="E10" s="22" t="n">
        <v>21190000</v>
      </c>
      <c r="F10" s="22" t="n">
        <v>25350000</v>
      </c>
      <c r="G10" s="22" t="n">
        <v>10290000</v>
      </c>
    </row>
    <row r="11" customFormat="false" ht="21" hidden="false" customHeight="true" outlineLevel="0" collapsed="false">
      <c r="A11" s="12" t="s">
        <v>61</v>
      </c>
      <c r="B11" s="15"/>
      <c r="C11" s="15"/>
      <c r="D11" s="15"/>
      <c r="E11" s="22" t="n">
        <v>6000000</v>
      </c>
      <c r="F11" s="15"/>
      <c r="G11" s="15"/>
    </row>
    <row r="12" customFormat="false" ht="21" hidden="false" customHeight="true" outlineLevel="0" collapsed="false">
      <c r="A12" s="12" t="s">
        <v>28</v>
      </c>
      <c r="B12" s="22" t="n">
        <v>6000000</v>
      </c>
      <c r="C12" s="22" t="n">
        <v>7000000</v>
      </c>
      <c r="D12" s="22" t="n">
        <v>8000000</v>
      </c>
      <c r="E12" s="22" t="n">
        <v>8000000</v>
      </c>
      <c r="F12" s="22" t="n">
        <v>7500000</v>
      </c>
      <c r="G12" s="22" t="n">
        <v>3000000</v>
      </c>
    </row>
    <row r="13" customFormat="false" ht="21.75" hidden="false" customHeight="true" outlineLevel="0" collapsed="false">
      <c r="A13" s="11" t="s">
        <v>62</v>
      </c>
      <c r="B13" s="11"/>
      <c r="C13" s="11"/>
      <c r="D13" s="11"/>
      <c r="E13" s="11"/>
      <c r="F13" s="11"/>
      <c r="G13" s="11"/>
    </row>
    <row r="14" customFormat="false" ht="21" hidden="false" customHeight="true" outlineLevel="0" collapsed="false">
      <c r="A14" s="12" t="s">
        <v>63</v>
      </c>
      <c r="B14" s="23" t="n">
        <v>1200000</v>
      </c>
      <c r="C14" s="23" t="n">
        <v>2300000</v>
      </c>
      <c r="D14" s="23" t="n">
        <v>0</v>
      </c>
      <c r="E14" s="23" t="n">
        <v>0</v>
      </c>
      <c r="F14" s="23" t="n">
        <v>0</v>
      </c>
      <c r="G14" s="23" t="n">
        <v>0</v>
      </c>
    </row>
    <row r="15" customFormat="false" ht="21" hidden="false" customHeight="true" outlineLevel="0" collapsed="false">
      <c r="A15" s="12" t="s">
        <v>64</v>
      </c>
      <c r="B15" s="23" t="n">
        <v>1150000</v>
      </c>
      <c r="C15" s="23" t="n">
        <v>1150000</v>
      </c>
      <c r="D15" s="23" t="n">
        <v>0</v>
      </c>
      <c r="E15" s="23" t="n">
        <v>1281000</v>
      </c>
      <c r="F15" s="23" t="n">
        <v>1315000</v>
      </c>
      <c r="G15" s="23" t="n">
        <v>0</v>
      </c>
    </row>
    <row r="16" customFormat="false" ht="21" hidden="false" customHeight="true" outlineLevel="0" collapsed="false">
      <c r="A16" s="12" t="s">
        <v>65</v>
      </c>
      <c r="B16" s="24"/>
      <c r="C16" s="24"/>
      <c r="D16" s="25" t="n">
        <v>50</v>
      </c>
      <c r="E16" s="25" t="n">
        <v>56</v>
      </c>
      <c r="F16" s="24"/>
      <c r="G16" s="24"/>
    </row>
    <row r="17" customFormat="false" ht="21" hidden="false" customHeight="true" outlineLevel="0" collapsed="false">
      <c r="A17" s="12" t="s">
        <v>66</v>
      </c>
      <c r="B17" s="15" t="n">
        <f aca="false">Notes!$B$7</f>
        <v>950000</v>
      </c>
      <c r="C17" s="22" t="n">
        <v>950000</v>
      </c>
      <c r="D17" s="15" t="n">
        <f aca="false">D16*Notes!$B$6</f>
        <v>825000</v>
      </c>
      <c r="E17" s="15" t="n">
        <f aca="false">E16*Notes!$B$6</f>
        <v>924000</v>
      </c>
      <c r="F17" s="22" t="n">
        <v>1000000</v>
      </c>
      <c r="G17" s="22" t="n">
        <v>900000</v>
      </c>
    </row>
    <row r="18" customFormat="false" ht="21" hidden="false" customHeight="true" outlineLevel="0" collapsed="false">
      <c r="A18" s="12" t="s">
        <v>67</v>
      </c>
      <c r="B18" s="22" t="n">
        <v>0</v>
      </c>
      <c r="C18" s="22" t="n">
        <v>0</v>
      </c>
      <c r="D18" s="22" t="n">
        <v>600000</v>
      </c>
      <c r="E18" s="22" t="n">
        <v>0</v>
      </c>
      <c r="F18" s="22" t="n">
        <v>0</v>
      </c>
      <c r="G18" s="22" t="n">
        <v>0</v>
      </c>
    </row>
    <row r="19" customFormat="false" ht="21" hidden="false" customHeight="true" outlineLevel="0" collapsed="false">
      <c r="A19" s="12" t="s">
        <v>68</v>
      </c>
      <c r="B19" s="26" t="n">
        <v>0.011</v>
      </c>
      <c r="C19" s="26" t="n">
        <v>0.011</v>
      </c>
      <c r="D19" s="27" t="n">
        <f aca="false">Notes!$B$8</f>
        <v>0.011</v>
      </c>
      <c r="E19" s="26" t="n">
        <v>0.011</v>
      </c>
      <c r="F19" s="26" t="n">
        <v>0.011</v>
      </c>
      <c r="G19" s="26" t="n">
        <v>0.011</v>
      </c>
    </row>
    <row r="20" customFormat="false" ht="21" hidden="false" customHeight="true" outlineLevel="0" collapsed="false">
      <c r="A20" s="12" t="s">
        <v>69</v>
      </c>
      <c r="B20" s="15" t="n">
        <f aca="false">B7*B19</f>
        <v>257290</v>
      </c>
      <c r="C20" s="15" t="n">
        <f aca="false">C7*C19</f>
        <v>295768</v>
      </c>
      <c r="D20" s="15" t="n">
        <f aca="false">D7*D19</f>
        <v>196900</v>
      </c>
      <c r="E20" s="15" t="n">
        <f aca="false">E7*E19</f>
        <v>255090</v>
      </c>
      <c r="F20" s="15" t="n">
        <f aca="false">F7*F19</f>
        <v>289850</v>
      </c>
      <c r="G20" s="15" t="n">
        <f aca="false">G7*G19</f>
        <v>113190</v>
      </c>
    </row>
    <row r="21" customFormat="false" ht="21" hidden="false" customHeight="true" outlineLevel="0" collapsed="false">
      <c r="A21" s="12" t="s">
        <v>70</v>
      </c>
      <c r="B21" s="22" t="n">
        <v>0</v>
      </c>
      <c r="C21" s="22" t="n">
        <v>-3000000</v>
      </c>
      <c r="D21" s="22" t="n">
        <v>0</v>
      </c>
      <c r="E21" s="22" t="n">
        <v>0</v>
      </c>
      <c r="F21" s="22" t="n">
        <v>0</v>
      </c>
      <c r="G21" s="22" t="n">
        <v>0</v>
      </c>
    </row>
    <row r="22" customFormat="false" ht="21.75" hidden="false" customHeight="true" outlineLevel="0" collapsed="false">
      <c r="A22" s="11" t="s">
        <v>71</v>
      </c>
      <c r="B22" s="11"/>
      <c r="C22" s="11"/>
      <c r="D22" s="11"/>
      <c r="E22" s="11"/>
      <c r="F22" s="11"/>
      <c r="G22" s="11"/>
    </row>
    <row r="23" customFormat="false" ht="27.75" hidden="false" customHeight="true" outlineLevel="0" collapsed="false">
      <c r="A23" s="12" t="s">
        <v>72</v>
      </c>
      <c r="B23" s="28" t="n">
        <f aca="false">B7+B14+B15+B17+B18+B20+B21</f>
        <v>26947290</v>
      </c>
      <c r="C23" s="28" t="n">
        <f aca="false">C7+C14+C15+C17+C18+C20+C21</f>
        <v>28583768</v>
      </c>
      <c r="D23" s="28" t="n">
        <f aca="false">D7+D14+D15+D17+D18+D20+D21</f>
        <v>19521900</v>
      </c>
      <c r="E23" s="28" t="n">
        <f aca="false">E7+E14+E15+E17+E18+E20+E21</f>
        <v>25650090</v>
      </c>
      <c r="F23" s="28" t="n">
        <f aca="false">F7+F14+F15+F17+F18+F20+F21</f>
        <v>28954850</v>
      </c>
      <c r="G23" s="28" t="n">
        <f aca="false">G7+G14+G15+G17+G18+G20+G21</f>
        <v>11303190</v>
      </c>
    </row>
    <row r="24" customFormat="false" ht="21" hidden="false" customHeight="true" outlineLevel="0" collapsed="false">
      <c r="A24" s="12" t="s">
        <v>73</v>
      </c>
      <c r="B24" s="15"/>
      <c r="C24" s="22" t="n">
        <v>28580718</v>
      </c>
      <c r="D24" s="15"/>
      <c r="E24" s="22" t="n">
        <v>24726090</v>
      </c>
      <c r="F24" s="22" t="n">
        <v>28955000</v>
      </c>
      <c r="G24" s="22" t="n">
        <v>11305000</v>
      </c>
    </row>
    <row r="25" customFormat="false" ht="21" hidden="false" customHeight="true" outlineLevel="0" collapsed="false">
      <c r="A25" s="12" t="s">
        <v>74</v>
      </c>
      <c r="B25" s="29" t="str">
        <f aca="false">IF(B24="","",B23-B24)</f>
        <v/>
      </c>
      <c r="C25" s="29" t="n">
        <f aca="false">IF(C24="","",C23-C24)</f>
        <v>3050</v>
      </c>
      <c r="D25" s="29" t="str">
        <f aca="false">IF(D24="","",D23-D24)</f>
        <v/>
      </c>
      <c r="E25" s="29" t="n">
        <f aca="false">IF(E24="","",E23-E24)</f>
        <v>924000</v>
      </c>
      <c r="F25" s="29" t="n">
        <f aca="false">IF(F24="","",F23-F24)</f>
        <v>-150</v>
      </c>
      <c r="G25" s="29" t="n">
        <f aca="false">IF(G24="","",G23-G24)</f>
        <v>-1810</v>
      </c>
    </row>
    <row r="26" customFormat="false" ht="21" hidden="false" customHeight="true" outlineLevel="0" collapsed="false">
      <c r="A26" s="12" t="s">
        <v>26</v>
      </c>
      <c r="B26" s="18" t="n">
        <f aca="false">RANK(B23,$B$23:$G$23,1)</f>
        <v>4</v>
      </c>
      <c r="C26" s="18" t="n">
        <f aca="false">RANK(C23,$B$23:$G$23,1)</f>
        <v>5</v>
      </c>
      <c r="D26" s="18" t="n">
        <f aca="false">RANK(D23,$B$23:$G$23,1)</f>
        <v>2</v>
      </c>
      <c r="E26" s="18" t="n">
        <f aca="false">RANK(E23,$B$23:$G$23,1)</f>
        <v>3</v>
      </c>
      <c r="F26" s="18" t="n">
        <f aca="false">RANK(F23,$B$23:$G$23,1)</f>
        <v>6</v>
      </c>
      <c r="G26" s="18" t="n">
        <f aca="false">RANK(G23,$B$23:$G$23,1)</f>
        <v>1</v>
      </c>
    </row>
    <row r="27" customFormat="false" ht="21.75" hidden="false" customHeight="true" outlineLevel="0" collapsed="false">
      <c r="A27" s="11" t="s">
        <v>75</v>
      </c>
      <c r="B27" s="11"/>
      <c r="C27" s="11"/>
      <c r="D27" s="11"/>
      <c r="E27" s="11"/>
      <c r="F27" s="11"/>
      <c r="G27" s="11"/>
    </row>
    <row r="28" customFormat="false" ht="21" hidden="false" customHeight="true" outlineLevel="0" collapsed="false">
      <c r="A28" s="12" t="s">
        <v>76</v>
      </c>
      <c r="B28" s="17" t="n">
        <f aca="false">B23/'Days &amp; Flights'!B9</f>
        <v>3849612.85714286</v>
      </c>
      <c r="C28" s="17" t="n">
        <f aca="false">C23/'Days &amp; Flights'!C9</f>
        <v>4083395.42857143</v>
      </c>
      <c r="D28" s="17" t="n">
        <f aca="false">D23/'Days &amp; Flights'!D9</f>
        <v>2788842.85714286</v>
      </c>
      <c r="E28" s="17" t="n">
        <f aca="false">E23/'Days &amp; Flights'!E9</f>
        <v>3206261.25</v>
      </c>
      <c r="F28" s="17" t="n">
        <f aca="false">F23/'Days &amp; Flights'!F9</f>
        <v>4136407.14285714</v>
      </c>
      <c r="G28" s="17" t="n">
        <f aca="false">G23/'Days &amp; Flights'!G9</f>
        <v>2260638</v>
      </c>
    </row>
    <row r="29" customFormat="false" ht="21" hidden="false" customHeight="true" outlineLevel="0" collapsed="false">
      <c r="A29" s="12" t="s">
        <v>77</v>
      </c>
      <c r="B29" s="17" t="n">
        <f aca="false">B23/'Days &amp; Flights'!B10</f>
        <v>5389458</v>
      </c>
      <c r="C29" s="17" t="n">
        <f aca="false">C23/'Days &amp; Flights'!C10</f>
        <v>5716753.6</v>
      </c>
      <c r="D29" s="17" t="n">
        <f aca="false">D23/'Days &amp; Flights'!D10</f>
        <v>3904380</v>
      </c>
      <c r="E29" s="17" t="n">
        <f aca="false">E23/'Days &amp; Flights'!E10</f>
        <v>4275015</v>
      </c>
      <c r="F29" s="17" t="n">
        <f aca="false">F23/'Days &amp; Flights'!F10</f>
        <v>5790970</v>
      </c>
      <c r="G29" s="17" t="n">
        <f aca="false">G23/'Days &amp; Flights'!G10</f>
        <v>3767730</v>
      </c>
    </row>
    <row r="30" customFormat="false" ht="21" hidden="false" customHeight="true" outlineLevel="0" collapsed="false">
      <c r="A30" s="12" t="s">
        <v>78</v>
      </c>
      <c r="B30" s="17" t="n">
        <f aca="false">B23/'Days &amp; Flights'!B11</f>
        <v>5389458</v>
      </c>
      <c r="C30" s="17" t="n">
        <f aca="false">C23/'Days &amp; Flights'!C11</f>
        <v>5716753.6</v>
      </c>
      <c r="D30" s="17" t="n">
        <f aca="false">D23/'Days &amp; Flights'!D11</f>
        <v>4880475</v>
      </c>
      <c r="E30" s="17" t="n">
        <f aca="false">E23/'Days &amp; Flights'!E11</f>
        <v>5130018</v>
      </c>
      <c r="F30" s="17" t="n">
        <f aca="false">F23/'Days &amp; Flights'!F11</f>
        <v>5790970</v>
      </c>
      <c r="G30" s="17" t="n">
        <f aca="false">G23/'Days &amp; Flights'!G11</f>
        <v>3767730</v>
      </c>
    </row>
    <row r="32" customFormat="false" ht="30" hidden="false" customHeight="true" outlineLevel="0" collapsed="false">
      <c r="A32" s="21" t="s">
        <v>79</v>
      </c>
      <c r="B32" s="21"/>
      <c r="C32" s="21"/>
      <c r="D32" s="21"/>
      <c r="E32" s="21"/>
      <c r="F32" s="21"/>
      <c r="G32" s="21"/>
    </row>
  </sheetData>
  <mergeCells count="7">
    <mergeCell ref="A1:G1"/>
    <mergeCell ref="A2:G2"/>
    <mergeCell ref="A6:G6"/>
    <mergeCell ref="A13:G13"/>
    <mergeCell ref="A22:G22"/>
    <mergeCell ref="A27:G27"/>
    <mergeCell ref="A32:G32"/>
  </mergeCells>
  <conditionalFormatting sqref="B12:G12">
    <cfRule type="colorScale" priority="2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conditionalFormatting sqref="B23:G23">
    <cfRule type="colorScale" priority="3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conditionalFormatting sqref="B28:G28">
    <cfRule type="colorScale" priority="4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conditionalFormatting sqref="B29:G29">
    <cfRule type="colorScale" priority="5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conditionalFormatting sqref="B30:G30">
    <cfRule type="colorScale" priority="6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80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81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5" customFormat="false" ht="25.5" hidden="false" customHeight="true" outlineLevel="0" collapsed="false">
      <c r="A5" s="4" t="s">
        <v>2</v>
      </c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10" t="s">
        <v>8</v>
      </c>
    </row>
    <row r="6" customFormat="false" ht="21.75" hidden="false" customHeight="true" outlineLevel="0" collapsed="false">
      <c r="A6" s="11" t="s">
        <v>82</v>
      </c>
      <c r="B6" s="11"/>
      <c r="C6" s="11"/>
      <c r="D6" s="11"/>
      <c r="E6" s="11"/>
      <c r="F6" s="11"/>
      <c r="G6" s="11"/>
    </row>
    <row r="7" customFormat="false" ht="21" hidden="false" customHeight="true" outlineLevel="0" collapsed="false">
      <c r="A7" s="12" t="s">
        <v>10</v>
      </c>
      <c r="B7" s="13" t="s">
        <v>83</v>
      </c>
      <c r="C7" s="13" t="s">
        <v>84</v>
      </c>
      <c r="D7" s="13" t="s">
        <v>85</v>
      </c>
      <c r="E7" s="13" t="s">
        <v>85</v>
      </c>
      <c r="F7" s="13" t="s">
        <v>86</v>
      </c>
      <c r="G7" s="13" t="s">
        <v>87</v>
      </c>
    </row>
    <row r="8" customFormat="false" ht="21" hidden="false" customHeight="true" outlineLevel="0" collapsed="false">
      <c r="A8" s="12" t="s">
        <v>88</v>
      </c>
      <c r="B8" s="13" t="s">
        <v>89</v>
      </c>
      <c r="C8" s="13" t="s">
        <v>90</v>
      </c>
      <c r="D8" s="13" t="s">
        <v>91</v>
      </c>
      <c r="E8" s="13" t="s">
        <v>92</v>
      </c>
      <c r="F8" s="13" t="s">
        <v>93</v>
      </c>
      <c r="G8" s="13" t="s">
        <v>94</v>
      </c>
    </row>
    <row r="9" customFormat="false" ht="21" hidden="false" customHeight="true" outlineLevel="0" collapsed="false">
      <c r="A9" s="12" t="s">
        <v>95</v>
      </c>
      <c r="B9" s="30" t="n">
        <v>7</v>
      </c>
      <c r="C9" s="30" t="n">
        <v>7</v>
      </c>
      <c r="D9" s="30" t="n">
        <v>7</v>
      </c>
      <c r="E9" s="30" t="n">
        <v>8</v>
      </c>
      <c r="F9" s="30" t="n">
        <v>7</v>
      </c>
      <c r="G9" s="30" t="n">
        <v>5</v>
      </c>
    </row>
    <row r="10" customFormat="false" ht="21" hidden="false" customHeight="true" outlineLevel="0" collapsed="false">
      <c r="A10" s="12" t="s">
        <v>96</v>
      </c>
      <c r="B10" s="30" t="n">
        <v>5</v>
      </c>
      <c r="C10" s="30" t="n">
        <v>5</v>
      </c>
      <c r="D10" s="30" t="n">
        <v>5</v>
      </c>
      <c r="E10" s="30" t="n">
        <v>6</v>
      </c>
      <c r="F10" s="30" t="n">
        <v>5</v>
      </c>
      <c r="G10" s="30" t="n">
        <v>3</v>
      </c>
    </row>
    <row r="11" customFormat="false" ht="21" hidden="false" customHeight="true" outlineLevel="0" collapsed="false">
      <c r="A11" s="12" t="s">
        <v>12</v>
      </c>
      <c r="B11" s="30" t="n">
        <v>5</v>
      </c>
      <c r="C11" s="30" t="n">
        <v>5</v>
      </c>
      <c r="D11" s="30" t="n">
        <v>4</v>
      </c>
      <c r="E11" s="30" t="n">
        <v>5</v>
      </c>
      <c r="F11" s="30" t="n">
        <v>5</v>
      </c>
      <c r="G11" s="30" t="n">
        <v>3</v>
      </c>
    </row>
    <row r="12" customFormat="false" ht="21" hidden="false" customHeight="true" outlineLevel="0" collapsed="false">
      <c r="A12" s="12" t="s">
        <v>97</v>
      </c>
      <c r="B12" s="31" t="n">
        <v>0</v>
      </c>
      <c r="C12" s="31" t="n">
        <v>0</v>
      </c>
      <c r="D12" s="31" t="n">
        <v>1</v>
      </c>
      <c r="E12" s="31" t="n">
        <v>1</v>
      </c>
      <c r="F12" s="31" t="n">
        <v>0</v>
      </c>
      <c r="G12" s="31" t="n">
        <v>0</v>
      </c>
    </row>
    <row r="13" customFormat="false" ht="21.75" hidden="false" customHeight="true" outlineLevel="0" collapsed="false">
      <c r="A13" s="11" t="s">
        <v>98</v>
      </c>
      <c r="B13" s="11"/>
      <c r="C13" s="11"/>
      <c r="D13" s="11"/>
      <c r="E13" s="11"/>
      <c r="F13" s="11"/>
      <c r="G13" s="11"/>
    </row>
    <row r="14" customFormat="false" ht="21.75" hidden="false" customHeight="true" outlineLevel="0" collapsed="false">
      <c r="A14" s="12" t="s">
        <v>20</v>
      </c>
      <c r="B14" s="13" t="s">
        <v>99</v>
      </c>
      <c r="C14" s="13" t="s">
        <v>99</v>
      </c>
      <c r="D14" s="13" t="s">
        <v>99</v>
      </c>
      <c r="E14" s="13" t="s">
        <v>99</v>
      </c>
      <c r="F14" s="13" t="s">
        <v>99</v>
      </c>
      <c r="G14" s="13" t="s">
        <v>100</v>
      </c>
    </row>
    <row r="15" customFormat="false" ht="43.5" hidden="false" customHeight="true" outlineLevel="0" collapsed="false">
      <c r="A15" s="12" t="s">
        <v>101</v>
      </c>
      <c r="B15" s="13" t="s">
        <v>102</v>
      </c>
      <c r="C15" s="13" t="s">
        <v>103</v>
      </c>
      <c r="D15" s="13" t="s">
        <v>104</v>
      </c>
      <c r="E15" s="13" t="s">
        <v>105</v>
      </c>
      <c r="F15" s="13" t="s">
        <v>106</v>
      </c>
      <c r="G15" s="13" t="s">
        <v>107</v>
      </c>
    </row>
    <row r="16" customFormat="false" ht="43.5" hidden="false" customHeight="true" outlineLevel="0" collapsed="false">
      <c r="A16" s="12" t="s">
        <v>108</v>
      </c>
      <c r="B16" s="13" t="s">
        <v>109</v>
      </c>
      <c r="C16" s="13" t="s">
        <v>110</v>
      </c>
      <c r="D16" s="13" t="s">
        <v>109</v>
      </c>
      <c r="E16" s="13" t="s">
        <v>111</v>
      </c>
      <c r="F16" s="13" t="s">
        <v>109</v>
      </c>
      <c r="G16" s="13" t="s">
        <v>112</v>
      </c>
    </row>
    <row r="17" customFormat="false" ht="21.75" hidden="false" customHeight="true" outlineLevel="0" collapsed="false">
      <c r="A17" s="12" t="s">
        <v>113</v>
      </c>
      <c r="B17" s="13" t="s">
        <v>114</v>
      </c>
      <c r="C17" s="13" t="s">
        <v>115</v>
      </c>
      <c r="D17" s="13" t="s">
        <v>116</v>
      </c>
      <c r="E17" s="13" t="s">
        <v>117</v>
      </c>
      <c r="F17" s="13" t="s">
        <v>117</v>
      </c>
      <c r="G17" s="13" t="s">
        <v>118</v>
      </c>
    </row>
    <row r="18" customFormat="false" ht="21.75" hidden="false" customHeight="true" outlineLevel="0" collapsed="false">
      <c r="A18" s="12" t="s">
        <v>119</v>
      </c>
      <c r="B18" s="13" t="s">
        <v>120</v>
      </c>
      <c r="C18" s="13" t="s">
        <v>121</v>
      </c>
      <c r="D18" s="13" t="s">
        <v>120</v>
      </c>
      <c r="E18" s="13" t="s">
        <v>122</v>
      </c>
      <c r="F18" s="13" t="s">
        <v>120</v>
      </c>
      <c r="G18" s="13" t="s">
        <v>123</v>
      </c>
    </row>
    <row r="19" customFormat="false" ht="43.5" hidden="false" customHeight="true" outlineLevel="0" collapsed="false">
      <c r="A19" s="12" t="s">
        <v>21</v>
      </c>
      <c r="B19" s="13" t="s">
        <v>124</v>
      </c>
      <c r="C19" s="13" t="s">
        <v>125</v>
      </c>
      <c r="D19" s="13" t="s">
        <v>125</v>
      </c>
      <c r="E19" s="13" t="s">
        <v>125</v>
      </c>
      <c r="F19" s="13" t="s">
        <v>126</v>
      </c>
      <c r="G19" s="13" t="s">
        <v>127</v>
      </c>
    </row>
    <row r="20" customFormat="false" ht="43.5" hidden="false" customHeight="true" outlineLevel="0" collapsed="false">
      <c r="A20" s="12" t="s">
        <v>34</v>
      </c>
      <c r="B20" s="13" t="s">
        <v>128</v>
      </c>
      <c r="C20" s="13" t="s">
        <v>129</v>
      </c>
      <c r="D20" s="13" t="s">
        <v>130</v>
      </c>
      <c r="E20" s="13" t="s">
        <v>131</v>
      </c>
      <c r="F20" s="13" t="s">
        <v>132</v>
      </c>
      <c r="G20" s="13" t="s">
        <v>133</v>
      </c>
    </row>
    <row r="21" customFormat="false" ht="43.5" hidden="false" customHeight="true" outlineLevel="0" collapsed="false">
      <c r="A21" s="12" t="s">
        <v>134</v>
      </c>
      <c r="B21" s="13" t="s">
        <v>135</v>
      </c>
      <c r="C21" s="13" t="s">
        <v>136</v>
      </c>
      <c r="D21" s="13" t="s">
        <v>137</v>
      </c>
      <c r="E21" s="13" t="s">
        <v>138</v>
      </c>
      <c r="F21" s="13" t="s">
        <v>139</v>
      </c>
      <c r="G21" s="13" t="s">
        <v>140</v>
      </c>
    </row>
    <row r="22" customFormat="false" ht="21.75" hidden="false" customHeight="true" outlineLevel="0" collapsed="false">
      <c r="A22" s="11" t="s">
        <v>22</v>
      </c>
      <c r="B22" s="11"/>
      <c r="C22" s="11"/>
      <c r="D22" s="11"/>
      <c r="E22" s="11"/>
      <c r="F22" s="11"/>
      <c r="G22" s="11"/>
    </row>
    <row r="23" customFormat="false" ht="57.75" hidden="false" customHeight="true" outlineLevel="0" collapsed="false">
      <c r="A23" s="12" t="s">
        <v>141</v>
      </c>
      <c r="B23" s="13" t="s">
        <v>142</v>
      </c>
      <c r="C23" s="13" t="s">
        <v>143</v>
      </c>
      <c r="D23" s="13" t="s">
        <v>144</v>
      </c>
      <c r="E23" s="13" t="s">
        <v>145</v>
      </c>
      <c r="F23" s="13" t="s">
        <v>146</v>
      </c>
      <c r="G23" s="13" t="s">
        <v>147</v>
      </c>
    </row>
    <row r="25" customFormat="false" ht="18" hidden="false" customHeight="true" outlineLevel="0" collapsed="false">
      <c r="A25" s="21" t="s">
        <v>148</v>
      </c>
      <c r="B25" s="21"/>
      <c r="C25" s="21"/>
      <c r="D25" s="21"/>
      <c r="E25" s="21"/>
      <c r="F25" s="21"/>
      <c r="G25" s="21"/>
    </row>
  </sheetData>
  <mergeCells count="6">
    <mergeCell ref="A1:G1"/>
    <mergeCell ref="A2:G2"/>
    <mergeCell ref="A6:G6"/>
    <mergeCell ref="A13:G13"/>
    <mergeCell ref="A22:G22"/>
    <mergeCell ref="A25:G25"/>
  </mergeCells>
  <conditionalFormatting sqref="B10:G10">
    <cfRule type="colorScale" priority="2">
      <colorScale>
        <cfvo type="min" val="0"/>
        <cfvo type="percentile" val="50"/>
        <cfvo type="max" val="0"/>
        <color rgb="FFF8C8C8"/>
        <color rgb="FFFFF4CC"/>
        <color rgb="FFC8E6C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150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5" customFormat="false" ht="25.5" hidden="false" customHeight="true" outlineLevel="0" collapsed="false">
      <c r="A5" s="4" t="s">
        <v>2</v>
      </c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10" t="s">
        <v>8</v>
      </c>
    </row>
    <row r="6" customFormat="false" ht="21.75" hidden="false" customHeight="true" outlineLevel="0" collapsed="false">
      <c r="A6" s="11" t="s">
        <v>151</v>
      </c>
      <c r="B6" s="11"/>
      <c r="C6" s="11"/>
      <c r="D6" s="11"/>
      <c r="E6" s="11"/>
      <c r="F6" s="11"/>
      <c r="G6" s="11"/>
    </row>
    <row r="7" customFormat="false" ht="45.75" hidden="false" customHeight="true" outlineLevel="0" collapsed="false">
      <c r="A7" s="12" t="s">
        <v>30</v>
      </c>
      <c r="B7" s="13" t="s">
        <v>152</v>
      </c>
      <c r="C7" s="13" t="s">
        <v>153</v>
      </c>
      <c r="D7" s="13" t="s">
        <v>154</v>
      </c>
      <c r="E7" s="13" t="s">
        <v>155</v>
      </c>
      <c r="F7" s="13" t="s">
        <v>156</v>
      </c>
      <c r="G7" s="13" t="s">
        <v>154</v>
      </c>
    </row>
    <row r="8" customFormat="false" ht="45.75" hidden="false" customHeight="true" outlineLevel="0" collapsed="false">
      <c r="A8" s="12" t="s">
        <v>157</v>
      </c>
      <c r="B8" s="13" t="s">
        <v>158</v>
      </c>
      <c r="C8" s="13" t="s">
        <v>159</v>
      </c>
      <c r="D8" s="13" t="s">
        <v>160</v>
      </c>
      <c r="E8" s="13" t="s">
        <v>161</v>
      </c>
      <c r="F8" s="13" t="s">
        <v>162</v>
      </c>
      <c r="G8" s="13" t="s">
        <v>163</v>
      </c>
    </row>
    <row r="9" customFormat="false" ht="45.75" hidden="false" customHeight="true" outlineLevel="0" collapsed="false">
      <c r="A9" s="12" t="s">
        <v>164</v>
      </c>
      <c r="B9" s="13" t="s">
        <v>158</v>
      </c>
      <c r="C9" s="13" t="s">
        <v>163</v>
      </c>
      <c r="D9" s="13" t="s">
        <v>163</v>
      </c>
      <c r="E9" s="13" t="s">
        <v>165</v>
      </c>
      <c r="F9" s="13" t="s">
        <v>163</v>
      </c>
      <c r="G9" s="13" t="s">
        <v>163</v>
      </c>
    </row>
    <row r="10" customFormat="false" ht="45.75" hidden="false" customHeight="true" outlineLevel="0" collapsed="false">
      <c r="A10" s="12" t="s">
        <v>166</v>
      </c>
      <c r="B10" s="13" t="s">
        <v>167</v>
      </c>
      <c r="C10" s="13" t="s">
        <v>168</v>
      </c>
      <c r="D10" s="13" t="s">
        <v>169</v>
      </c>
      <c r="E10" s="13" t="s">
        <v>170</v>
      </c>
      <c r="F10" s="13" t="s">
        <v>171</v>
      </c>
      <c r="G10" s="13" t="s">
        <v>172</v>
      </c>
    </row>
    <row r="11" customFormat="false" ht="45.75" hidden="false" customHeight="true" outlineLevel="0" collapsed="false">
      <c r="A11" s="12" t="s">
        <v>173</v>
      </c>
      <c r="B11" s="13" t="s">
        <v>174</v>
      </c>
      <c r="C11" s="13" t="s">
        <v>175</v>
      </c>
      <c r="D11" s="13" t="s">
        <v>176</v>
      </c>
      <c r="E11" s="13" t="s">
        <v>177</v>
      </c>
      <c r="F11" s="13" t="s">
        <v>178</v>
      </c>
      <c r="G11" s="13" t="s">
        <v>179</v>
      </c>
    </row>
    <row r="12" customFormat="false" ht="45.75" hidden="false" customHeight="true" outlineLevel="0" collapsed="false">
      <c r="A12" s="12" t="s">
        <v>134</v>
      </c>
      <c r="B12" s="13" t="s">
        <v>180</v>
      </c>
      <c r="C12" s="13" t="s">
        <v>181</v>
      </c>
      <c r="D12" s="13" t="s">
        <v>182</v>
      </c>
      <c r="E12" s="13" t="s">
        <v>183</v>
      </c>
      <c r="F12" s="13" t="s">
        <v>184</v>
      </c>
      <c r="G12" s="13" t="s">
        <v>185</v>
      </c>
    </row>
    <row r="13" customFormat="false" ht="21" hidden="false" customHeight="true" outlineLevel="0" collapsed="false">
      <c r="A13" s="12" t="s">
        <v>32</v>
      </c>
      <c r="B13" s="32" t="n">
        <v>5</v>
      </c>
      <c r="C13" s="32" t="n">
        <v>6</v>
      </c>
      <c r="D13" s="32" t="n">
        <v>3</v>
      </c>
      <c r="E13" s="32" t="n">
        <v>2</v>
      </c>
      <c r="F13" s="32" t="n">
        <v>1</v>
      </c>
      <c r="G13" s="32" t="n">
        <v>4</v>
      </c>
    </row>
    <row r="15" customFormat="false" ht="18" hidden="false" customHeight="true" outlineLevel="0" collapsed="false">
      <c r="A15" s="21" t="s">
        <v>186</v>
      </c>
      <c r="B15" s="21"/>
      <c r="C15" s="21"/>
      <c r="D15" s="21"/>
      <c r="E15" s="21"/>
      <c r="F15" s="21"/>
      <c r="G15" s="21"/>
    </row>
  </sheetData>
  <mergeCells count="4">
    <mergeCell ref="A1:G1"/>
    <mergeCell ref="A2:G2"/>
    <mergeCell ref="A6:G6"/>
    <mergeCell ref="A15:G15"/>
  </mergeCells>
  <conditionalFormatting sqref="B13:G13">
    <cfRule type="colorScale" priority="2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188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5" customFormat="false" ht="25.5" hidden="false" customHeight="true" outlineLevel="0" collapsed="false">
      <c r="A5" s="4" t="s">
        <v>2</v>
      </c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10" t="s">
        <v>8</v>
      </c>
    </row>
    <row r="6" customFormat="false" ht="21.75" hidden="false" customHeight="true" outlineLevel="0" collapsed="false">
      <c r="A6" s="11" t="s">
        <v>189</v>
      </c>
      <c r="B6" s="11"/>
      <c r="C6" s="11"/>
      <c r="D6" s="11"/>
      <c r="E6" s="11"/>
      <c r="F6" s="11"/>
      <c r="G6" s="11"/>
    </row>
    <row r="7" customFormat="false" ht="21" hidden="false" customHeight="true" outlineLevel="0" collapsed="false">
      <c r="A7" s="12" t="s">
        <v>190</v>
      </c>
      <c r="B7" s="13" t="s">
        <v>163</v>
      </c>
      <c r="C7" s="13" t="s">
        <v>163</v>
      </c>
      <c r="D7" s="13" t="s">
        <v>163</v>
      </c>
      <c r="E7" s="13" t="s">
        <v>163</v>
      </c>
      <c r="F7" s="13" t="s">
        <v>163</v>
      </c>
      <c r="G7" s="13" t="s">
        <v>163</v>
      </c>
    </row>
    <row r="8" customFormat="false" ht="21" hidden="false" customHeight="true" outlineLevel="0" collapsed="false">
      <c r="A8" s="12" t="s">
        <v>191</v>
      </c>
      <c r="B8" s="33" t="s">
        <v>192</v>
      </c>
      <c r="C8" s="33" t="s">
        <v>193</v>
      </c>
      <c r="D8" s="33" t="s">
        <v>193</v>
      </c>
      <c r="E8" s="33" t="s">
        <v>192</v>
      </c>
      <c r="F8" s="33" t="s">
        <v>192</v>
      </c>
      <c r="G8" s="33" t="s">
        <v>163</v>
      </c>
    </row>
    <row r="9" customFormat="false" ht="21" hidden="false" customHeight="true" outlineLevel="0" collapsed="false">
      <c r="A9" s="12" t="s">
        <v>194</v>
      </c>
      <c r="B9" s="13" t="s">
        <v>195</v>
      </c>
      <c r="C9" s="13" t="s">
        <v>196</v>
      </c>
      <c r="D9" s="13" t="s">
        <v>196</v>
      </c>
      <c r="E9" s="13" t="s">
        <v>195</v>
      </c>
      <c r="F9" s="13" t="s">
        <v>195</v>
      </c>
      <c r="G9" s="13" t="s">
        <v>197</v>
      </c>
    </row>
    <row r="10" customFormat="false" ht="21" hidden="false" customHeight="true" outlineLevel="0" collapsed="false">
      <c r="A10" s="12" t="s">
        <v>198</v>
      </c>
      <c r="B10" s="33" t="s">
        <v>196</v>
      </c>
      <c r="C10" s="33" t="s">
        <v>196</v>
      </c>
      <c r="D10" s="33" t="s">
        <v>196</v>
      </c>
      <c r="E10" s="33" t="s">
        <v>195</v>
      </c>
      <c r="F10" s="33" t="s">
        <v>196</v>
      </c>
      <c r="G10" s="33" t="s">
        <v>197</v>
      </c>
    </row>
    <row r="11" customFormat="false" ht="21" hidden="false" customHeight="true" outlineLevel="0" collapsed="false">
      <c r="A11" s="12" t="s">
        <v>199</v>
      </c>
      <c r="B11" s="13" t="s">
        <v>196</v>
      </c>
      <c r="C11" s="13" t="s">
        <v>196</v>
      </c>
      <c r="D11" s="13" t="s">
        <v>197</v>
      </c>
      <c r="E11" s="13" t="s">
        <v>196</v>
      </c>
      <c r="F11" s="13" t="s">
        <v>196</v>
      </c>
      <c r="G11" s="13" t="s">
        <v>197</v>
      </c>
    </row>
    <row r="12" customFormat="false" ht="21" hidden="false" customHeight="true" outlineLevel="0" collapsed="false">
      <c r="A12" s="12" t="s">
        <v>200</v>
      </c>
      <c r="B12" s="33" t="s">
        <v>196</v>
      </c>
      <c r="C12" s="33" t="s">
        <v>196</v>
      </c>
      <c r="D12" s="33" t="s">
        <v>197</v>
      </c>
      <c r="E12" s="33" t="s">
        <v>196</v>
      </c>
      <c r="F12" s="33" t="s">
        <v>197</v>
      </c>
      <c r="G12" s="34"/>
    </row>
    <row r="13" customFormat="false" ht="21" hidden="false" customHeight="true" outlineLevel="0" collapsed="false">
      <c r="A13" s="12" t="s">
        <v>201</v>
      </c>
      <c r="B13" s="13" t="s">
        <v>197</v>
      </c>
      <c r="C13" s="13" t="s">
        <v>197</v>
      </c>
      <c r="D13" s="13" t="s">
        <v>197</v>
      </c>
      <c r="E13" s="13" t="s">
        <v>197</v>
      </c>
      <c r="F13" s="13" t="s">
        <v>197</v>
      </c>
      <c r="G13" s="34"/>
    </row>
    <row r="14" customFormat="false" ht="21" hidden="false" customHeight="true" outlineLevel="0" collapsed="false">
      <c r="A14" s="12" t="s">
        <v>202</v>
      </c>
      <c r="B14" s="34"/>
      <c r="C14" s="34"/>
      <c r="D14" s="34"/>
      <c r="E14" s="33" t="s">
        <v>197</v>
      </c>
      <c r="F14" s="34"/>
      <c r="G14" s="34"/>
    </row>
    <row r="15" customFormat="false" ht="21.75" hidden="false" customHeight="true" outlineLevel="0" collapsed="false">
      <c r="A15" s="11" t="s">
        <v>203</v>
      </c>
      <c r="B15" s="11"/>
      <c r="C15" s="11"/>
      <c r="D15" s="11"/>
      <c r="E15" s="11"/>
      <c r="F15" s="11"/>
      <c r="G15" s="11"/>
    </row>
    <row r="16" customFormat="false" ht="21" hidden="false" customHeight="true" outlineLevel="0" collapsed="false">
      <c r="A16" s="12" t="s">
        <v>204</v>
      </c>
      <c r="B16" s="14" t="n">
        <f aca="false">COUNTIF(B7:B14,"*B*")</f>
        <v>5</v>
      </c>
      <c r="C16" s="14" t="n">
        <f aca="false">COUNTIF(C7:C14,"*B*")</f>
        <v>5</v>
      </c>
      <c r="D16" s="14" t="n">
        <f aca="false">COUNTIF(D7:D14,"*B*")</f>
        <v>5</v>
      </c>
      <c r="E16" s="14" t="n">
        <f aca="false">COUNTIF(E7:E14,"*B*")</f>
        <v>6</v>
      </c>
      <c r="F16" s="14" t="n">
        <f aca="false">COUNTIF(F7:F14,"*B*")</f>
        <v>5</v>
      </c>
      <c r="G16" s="14" t="n">
        <f aca="false">COUNTIF(G7:G14,"*B*")</f>
        <v>3</v>
      </c>
    </row>
    <row r="17" customFormat="false" ht="21" hidden="false" customHeight="true" outlineLevel="0" collapsed="false">
      <c r="A17" s="12" t="s">
        <v>205</v>
      </c>
      <c r="B17" s="14" t="n">
        <f aca="false">COUNTIF(B7:B14,"*L*")</f>
        <v>5</v>
      </c>
      <c r="C17" s="14" t="n">
        <f aca="false">COUNTIF(C7:C14,"*L*")</f>
        <v>5</v>
      </c>
      <c r="D17" s="14" t="n">
        <f aca="false">COUNTIF(D7:D14,"*L*")</f>
        <v>3</v>
      </c>
      <c r="E17" s="14" t="n">
        <f aca="false">COUNTIF(E7:E14,"*L*")</f>
        <v>5</v>
      </c>
      <c r="F17" s="14" t="n">
        <f aca="false">COUNTIF(F7:F14,"*L*")</f>
        <v>4</v>
      </c>
      <c r="G17" s="14" t="n">
        <f aca="false">COUNTIF(G7:G14,"*L*")</f>
        <v>0</v>
      </c>
    </row>
    <row r="18" customFormat="false" ht="21" hidden="false" customHeight="true" outlineLevel="0" collapsed="false">
      <c r="A18" s="12" t="s">
        <v>206</v>
      </c>
      <c r="B18" s="14" t="n">
        <f aca="false">COUNTIF(B7:B14,"*D*")</f>
        <v>2</v>
      </c>
      <c r="C18" s="14" t="n">
        <f aca="false">COUNTIF(C7:C14,"*D*")</f>
        <v>0</v>
      </c>
      <c r="D18" s="14" t="n">
        <f aca="false">COUNTIF(D7:D14,"*D*")</f>
        <v>0</v>
      </c>
      <c r="E18" s="14" t="n">
        <f aca="false">COUNTIF(E7:E14,"*D*")</f>
        <v>3</v>
      </c>
      <c r="F18" s="14" t="n">
        <f aca="false">COUNTIF(F7:F14,"*D*")</f>
        <v>2</v>
      </c>
      <c r="G18" s="14" t="n">
        <f aca="false">COUNTIF(G7:G14,"*D*")</f>
        <v>0</v>
      </c>
    </row>
    <row r="19" customFormat="false" ht="25.5" hidden="false" customHeight="true" outlineLevel="0" collapsed="false">
      <c r="A19" s="12" t="s">
        <v>207</v>
      </c>
      <c r="B19" s="35" t="n">
        <f aca="false">SUM(B16:B18)</f>
        <v>12</v>
      </c>
      <c r="C19" s="35" t="n">
        <f aca="false">SUM(C16:C18)</f>
        <v>10</v>
      </c>
      <c r="D19" s="35" t="n">
        <f aca="false">SUM(D16:D18)</f>
        <v>8</v>
      </c>
      <c r="E19" s="35" t="n">
        <f aca="false">SUM(E16:E18)</f>
        <v>14</v>
      </c>
      <c r="F19" s="35" t="n">
        <f aca="false">SUM(F16:F18)</f>
        <v>11</v>
      </c>
      <c r="G19" s="35" t="n">
        <f aca="false">SUM(G16:G18)</f>
        <v>3</v>
      </c>
    </row>
    <row r="20" customFormat="false" ht="21" hidden="false" customHeight="true" outlineLevel="0" collapsed="false">
      <c r="A20" s="12" t="s">
        <v>208</v>
      </c>
      <c r="B20" s="14" t="n">
        <f aca="false">'Days &amp; Flights'!B10*3-B19+3</f>
        <v>6</v>
      </c>
      <c r="C20" s="14" t="n">
        <f aca="false">'Days &amp; Flights'!C10*3-C19+3</f>
        <v>8</v>
      </c>
      <c r="D20" s="14" t="n">
        <f aca="false">'Days &amp; Flights'!D10*3-D19+3</f>
        <v>10</v>
      </c>
      <c r="E20" s="14" t="n">
        <f aca="false">'Days &amp; Flights'!E10*3-E19+3</f>
        <v>7</v>
      </c>
      <c r="F20" s="14" t="n">
        <f aca="false">'Days &amp; Flights'!F10*3-F19+3</f>
        <v>7</v>
      </c>
      <c r="G20" s="14" t="n">
        <f aca="false">'Days &amp; Flights'!G10*3-G19+3</f>
        <v>9</v>
      </c>
    </row>
    <row r="21" customFormat="false" ht="48" hidden="false" customHeight="true" outlineLevel="0" collapsed="false">
      <c r="A21" s="12" t="s">
        <v>209</v>
      </c>
      <c r="B21" s="13" t="s">
        <v>210</v>
      </c>
      <c r="C21" s="13" t="s">
        <v>211</v>
      </c>
      <c r="D21" s="13" t="s">
        <v>212</v>
      </c>
      <c r="E21" s="13" t="s">
        <v>213</v>
      </c>
      <c r="F21" s="13" t="s">
        <v>214</v>
      </c>
      <c r="G21" s="13" t="s">
        <v>215</v>
      </c>
    </row>
  </sheetData>
  <mergeCells count="4">
    <mergeCell ref="A1:G1"/>
    <mergeCell ref="A2:G2"/>
    <mergeCell ref="A6:G6"/>
    <mergeCell ref="A15:G15"/>
  </mergeCells>
  <conditionalFormatting sqref="B19:G19">
    <cfRule type="colorScale" priority="2">
      <colorScale>
        <cfvo type="min" val="0"/>
        <cfvo type="percentile" val="50"/>
        <cfvo type="max" val="0"/>
        <color rgb="FFF8C8C8"/>
        <color rgb="FFFFF4CC"/>
        <color rgb="FFC8E6C9"/>
      </colorScale>
    </cfRule>
  </conditionalFormatting>
  <conditionalFormatting sqref="B20:G20">
    <cfRule type="colorScale" priority="3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217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5" customFormat="false" ht="25.5" hidden="false" customHeight="true" outlineLevel="0" collapsed="false">
      <c r="A5" s="4" t="s">
        <v>2</v>
      </c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10" t="s">
        <v>8</v>
      </c>
    </row>
    <row r="6" customFormat="false" ht="21.75" hidden="false" customHeight="true" outlineLevel="0" collapsed="false">
      <c r="A6" s="11" t="s">
        <v>218</v>
      </c>
      <c r="B6" s="11"/>
      <c r="C6" s="11"/>
      <c r="D6" s="11"/>
      <c r="E6" s="11"/>
      <c r="F6" s="11"/>
      <c r="G6" s="11"/>
    </row>
    <row r="7" customFormat="false" ht="48" hidden="false" customHeight="true" outlineLevel="0" collapsed="false">
      <c r="A7" s="12" t="s">
        <v>35</v>
      </c>
      <c r="B7" s="13" t="s">
        <v>219</v>
      </c>
      <c r="C7" s="13" t="s">
        <v>220</v>
      </c>
      <c r="D7" s="13" t="s">
        <v>221</v>
      </c>
      <c r="E7" s="13" t="s">
        <v>222</v>
      </c>
      <c r="F7" s="13" t="s">
        <v>223</v>
      </c>
      <c r="G7" s="13" t="s">
        <v>223</v>
      </c>
    </row>
    <row r="8" customFormat="false" ht="21" hidden="false" customHeight="true" outlineLevel="0" collapsed="false">
      <c r="A8" s="12" t="s">
        <v>224</v>
      </c>
      <c r="B8" s="30" t="n">
        <v>5</v>
      </c>
      <c r="C8" s="30" t="n">
        <v>6</v>
      </c>
      <c r="D8" s="30" t="n">
        <v>5</v>
      </c>
      <c r="E8" s="30" t="n">
        <v>4</v>
      </c>
      <c r="F8" s="30" t="n">
        <v>4</v>
      </c>
      <c r="G8" s="30" t="n">
        <v>4</v>
      </c>
    </row>
    <row r="9" customFormat="false" ht="21" hidden="false" customHeight="true" outlineLevel="0" collapsed="false">
      <c r="A9" s="12" t="s">
        <v>225</v>
      </c>
      <c r="B9" s="36"/>
      <c r="C9" s="36"/>
      <c r="D9" s="37" t="n">
        <v>1000000</v>
      </c>
      <c r="E9" s="36"/>
      <c r="F9" s="37" t="n">
        <v>3000000</v>
      </c>
      <c r="G9" s="37" t="n">
        <v>4000000</v>
      </c>
    </row>
    <row r="10" customFormat="false" ht="21.75" hidden="false" customHeight="true" outlineLevel="0" collapsed="false">
      <c r="A10" s="11" t="s">
        <v>226</v>
      </c>
      <c r="B10" s="11"/>
      <c r="C10" s="11"/>
      <c r="D10" s="11"/>
      <c r="E10" s="11"/>
      <c r="F10" s="11"/>
      <c r="G10" s="11"/>
    </row>
    <row r="11" customFormat="false" ht="21" hidden="false" customHeight="true" outlineLevel="0" collapsed="false">
      <c r="A11" s="12" t="s">
        <v>227</v>
      </c>
      <c r="B11" s="13" t="s">
        <v>228</v>
      </c>
      <c r="C11" s="13" t="s">
        <v>229</v>
      </c>
      <c r="D11" s="13" t="s">
        <v>229</v>
      </c>
      <c r="E11" s="13" t="s">
        <v>229</v>
      </c>
      <c r="F11" s="13" t="s">
        <v>229</v>
      </c>
      <c r="G11" s="13" t="s">
        <v>228</v>
      </c>
    </row>
    <row r="12" customFormat="false" ht="31.5" hidden="false" customHeight="true" outlineLevel="0" collapsed="false">
      <c r="A12" s="12" t="s">
        <v>230</v>
      </c>
      <c r="B12" s="13" t="s">
        <v>231</v>
      </c>
      <c r="C12" s="13" t="s">
        <v>232</v>
      </c>
      <c r="D12" s="13" t="s">
        <v>233</v>
      </c>
      <c r="E12" s="13" t="s">
        <v>131</v>
      </c>
      <c r="F12" s="13" t="s">
        <v>234</v>
      </c>
      <c r="G12" s="13" t="s">
        <v>234</v>
      </c>
    </row>
    <row r="13" customFormat="false" ht="31.5" hidden="false" customHeight="true" outlineLevel="0" collapsed="false">
      <c r="A13" s="12" t="s">
        <v>235</v>
      </c>
      <c r="B13" s="13" t="s">
        <v>236</v>
      </c>
      <c r="C13" s="13" t="s">
        <v>232</v>
      </c>
      <c r="D13" s="13" t="s">
        <v>237</v>
      </c>
      <c r="E13" s="13" t="s">
        <v>131</v>
      </c>
      <c r="F13" s="13" t="s">
        <v>238</v>
      </c>
      <c r="G13" s="13" t="s">
        <v>238</v>
      </c>
    </row>
    <row r="14" customFormat="false" ht="43.5" hidden="false" customHeight="true" outlineLevel="0" collapsed="false">
      <c r="A14" s="12" t="s">
        <v>239</v>
      </c>
      <c r="B14" s="13" t="s">
        <v>240</v>
      </c>
      <c r="C14" s="13" t="s">
        <v>232</v>
      </c>
      <c r="D14" s="13" t="s">
        <v>241</v>
      </c>
      <c r="E14" s="13" t="s">
        <v>131</v>
      </c>
      <c r="F14" s="13" t="s">
        <v>242</v>
      </c>
      <c r="G14" s="13" t="s">
        <v>242</v>
      </c>
    </row>
    <row r="15" customFormat="false" ht="21.75" hidden="false" customHeight="true" outlineLevel="0" collapsed="false">
      <c r="A15" s="11" t="s">
        <v>243</v>
      </c>
      <c r="B15" s="11"/>
      <c r="C15" s="11"/>
      <c r="D15" s="11"/>
      <c r="E15" s="11"/>
      <c r="F15" s="11"/>
      <c r="G15" s="11"/>
    </row>
    <row r="16" customFormat="false" ht="48" hidden="false" customHeight="true" outlineLevel="0" collapsed="false">
      <c r="A16" s="12" t="s">
        <v>244</v>
      </c>
      <c r="B16" s="13" t="s">
        <v>245</v>
      </c>
      <c r="C16" s="13" t="s">
        <v>246</v>
      </c>
      <c r="D16" s="13" t="s">
        <v>247</v>
      </c>
      <c r="E16" s="13" t="s">
        <v>248</v>
      </c>
      <c r="F16" s="13" t="s">
        <v>249</v>
      </c>
      <c r="G16" s="13" t="s">
        <v>250</v>
      </c>
    </row>
    <row r="17" customFormat="false" ht="21" hidden="false" customHeight="true" outlineLevel="0" collapsed="false">
      <c r="A17" s="12" t="s">
        <v>251</v>
      </c>
      <c r="B17" s="13" t="s">
        <v>252</v>
      </c>
      <c r="C17" s="13" t="s">
        <v>252</v>
      </c>
      <c r="D17" s="13" t="s">
        <v>252</v>
      </c>
      <c r="E17" s="13" t="s">
        <v>131</v>
      </c>
      <c r="F17" s="13" t="s">
        <v>252</v>
      </c>
      <c r="G17" s="13" t="s">
        <v>252</v>
      </c>
    </row>
    <row r="19" customFormat="false" ht="18" hidden="false" customHeight="true" outlineLevel="0" collapsed="false">
      <c r="A19" s="21" t="s">
        <v>253</v>
      </c>
      <c r="B19" s="21"/>
      <c r="C19" s="21"/>
      <c r="D19" s="21"/>
      <c r="E19" s="21"/>
      <c r="F19" s="21"/>
      <c r="G19" s="21"/>
    </row>
  </sheetData>
  <mergeCells count="6">
    <mergeCell ref="A1:G1"/>
    <mergeCell ref="A2:G2"/>
    <mergeCell ref="A6:G6"/>
    <mergeCell ref="A10:G10"/>
    <mergeCell ref="A15:G15"/>
    <mergeCell ref="A19:G19"/>
  </mergeCells>
  <conditionalFormatting sqref="B8:G8">
    <cfRule type="colorScale" priority="2">
      <colorScale>
        <cfvo type="min" val="0"/>
        <cfvo type="percentile" val="50"/>
        <cfvo type="max" val="0"/>
        <color rgb="FFC8E6C9"/>
        <color rgb="FFFFF4CC"/>
        <color rgb="FFF8C8C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5BB5"/>
    <pageSetUpPr fitToPage="true"/>
  </sheetPr>
  <dimension ref="A1:G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254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255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5" customFormat="false" ht="25.5" hidden="false" customHeight="true" outlineLevel="0" collapsed="false">
      <c r="A5" s="4" t="s">
        <v>256</v>
      </c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10" t="s">
        <v>8</v>
      </c>
    </row>
    <row r="6" customFormat="false" ht="21.75" hidden="false" customHeight="true" outlineLevel="0" collapsed="false">
      <c r="A6" s="11" t="s">
        <v>157</v>
      </c>
      <c r="B6" s="11"/>
      <c r="C6" s="11"/>
      <c r="D6" s="11"/>
      <c r="E6" s="11"/>
      <c r="F6" s="11"/>
      <c r="G6" s="11"/>
    </row>
    <row r="7" customFormat="false" ht="19.5" hidden="false" customHeight="true" outlineLevel="0" collapsed="false">
      <c r="A7" s="12" t="s">
        <v>257</v>
      </c>
      <c r="B7" s="38" t="s">
        <v>258</v>
      </c>
      <c r="C7" s="38" t="s">
        <v>258</v>
      </c>
      <c r="D7" s="38" t="s">
        <v>258</v>
      </c>
      <c r="E7" s="38" t="s">
        <v>258</v>
      </c>
      <c r="F7" s="38" t="s">
        <v>258</v>
      </c>
      <c r="G7" s="39" t="s">
        <v>163</v>
      </c>
    </row>
    <row r="8" customFormat="false" ht="19.5" hidden="false" customHeight="true" outlineLevel="0" collapsed="false">
      <c r="A8" s="12" t="s">
        <v>259</v>
      </c>
      <c r="B8" s="38" t="s">
        <v>258</v>
      </c>
      <c r="C8" s="38" t="s">
        <v>258</v>
      </c>
      <c r="D8" s="38" t="s">
        <v>258</v>
      </c>
      <c r="E8" s="38" t="s">
        <v>258</v>
      </c>
      <c r="F8" s="38" t="s">
        <v>258</v>
      </c>
      <c r="G8" s="40" t="s">
        <v>163</v>
      </c>
    </row>
    <row r="9" customFormat="false" ht="19.5" hidden="false" customHeight="true" outlineLevel="0" collapsed="false">
      <c r="A9" s="12" t="s">
        <v>260</v>
      </c>
      <c r="B9" s="38" t="s">
        <v>258</v>
      </c>
      <c r="C9" s="39" t="s">
        <v>163</v>
      </c>
      <c r="D9" s="38" t="s">
        <v>258</v>
      </c>
      <c r="E9" s="38" t="s">
        <v>258</v>
      </c>
      <c r="F9" s="38" t="s">
        <v>258</v>
      </c>
      <c r="G9" s="39" t="s">
        <v>163</v>
      </c>
    </row>
    <row r="10" customFormat="false" ht="19.5" hidden="false" customHeight="true" outlineLevel="0" collapsed="false">
      <c r="A10" s="12" t="s">
        <v>261</v>
      </c>
      <c r="B10" s="38" t="s">
        <v>262</v>
      </c>
      <c r="C10" s="38" t="s">
        <v>258</v>
      </c>
      <c r="D10" s="40" t="s">
        <v>163</v>
      </c>
      <c r="E10" s="38" t="s">
        <v>258</v>
      </c>
      <c r="F10" s="40" t="s">
        <v>163</v>
      </c>
      <c r="G10" s="40" t="s">
        <v>163</v>
      </c>
    </row>
    <row r="11" customFormat="false" ht="19.5" hidden="false" customHeight="true" outlineLevel="0" collapsed="false">
      <c r="A11" s="12" t="s">
        <v>263</v>
      </c>
      <c r="B11" s="39" t="s">
        <v>163</v>
      </c>
      <c r="C11" s="39" t="s">
        <v>163</v>
      </c>
      <c r="D11" s="39" t="s">
        <v>163</v>
      </c>
      <c r="E11" s="39" t="s">
        <v>163</v>
      </c>
      <c r="F11" s="38" t="s">
        <v>258</v>
      </c>
      <c r="G11" s="39" t="s">
        <v>163</v>
      </c>
    </row>
    <row r="12" customFormat="false" ht="19.5" hidden="false" customHeight="true" outlineLevel="0" collapsed="false">
      <c r="A12" s="12" t="s">
        <v>264</v>
      </c>
      <c r="B12" s="38" t="s">
        <v>258</v>
      </c>
      <c r="C12" s="40" t="s">
        <v>163</v>
      </c>
      <c r="D12" s="40" t="s">
        <v>163</v>
      </c>
      <c r="E12" s="40" t="s">
        <v>163</v>
      </c>
      <c r="F12" s="40" t="s">
        <v>163</v>
      </c>
      <c r="G12" s="40" t="s">
        <v>163</v>
      </c>
    </row>
    <row r="13" customFormat="false" ht="19.5" hidden="false" customHeight="true" outlineLevel="0" collapsed="false">
      <c r="A13" s="12" t="s">
        <v>265</v>
      </c>
      <c r="B13" s="39" t="s">
        <v>163</v>
      </c>
      <c r="C13" s="38" t="s">
        <v>258</v>
      </c>
      <c r="D13" s="39" t="s">
        <v>163</v>
      </c>
      <c r="E13" s="39" t="s">
        <v>163</v>
      </c>
      <c r="F13" s="38" t="s">
        <v>258</v>
      </c>
      <c r="G13" s="39" t="s">
        <v>163</v>
      </c>
    </row>
    <row r="14" customFormat="false" ht="19.5" hidden="false" customHeight="true" outlineLevel="0" collapsed="false">
      <c r="A14" s="12" t="s">
        <v>266</v>
      </c>
      <c r="B14" s="40" t="s">
        <v>163</v>
      </c>
      <c r="C14" s="38" t="s">
        <v>258</v>
      </c>
      <c r="D14" s="40" t="s">
        <v>163</v>
      </c>
      <c r="E14" s="40" t="s">
        <v>163</v>
      </c>
      <c r="F14" s="38" t="s">
        <v>258</v>
      </c>
      <c r="G14" s="40" t="s">
        <v>163</v>
      </c>
    </row>
    <row r="15" customFormat="false" ht="19.5" hidden="false" customHeight="true" outlineLevel="0" collapsed="false">
      <c r="A15" s="12" t="s">
        <v>267</v>
      </c>
      <c r="B15" s="39" t="s">
        <v>163</v>
      </c>
      <c r="C15" s="39" t="s">
        <v>163</v>
      </c>
      <c r="D15" s="39" t="s">
        <v>163</v>
      </c>
      <c r="E15" s="41" t="s">
        <v>268</v>
      </c>
      <c r="F15" s="39" t="s">
        <v>163</v>
      </c>
      <c r="G15" s="39" t="s">
        <v>163</v>
      </c>
    </row>
    <row r="16" customFormat="false" ht="21.75" hidden="false" customHeight="true" outlineLevel="0" collapsed="false">
      <c r="A16" s="11" t="s">
        <v>269</v>
      </c>
      <c r="B16" s="11"/>
      <c r="C16" s="11"/>
      <c r="D16" s="11"/>
      <c r="E16" s="11"/>
      <c r="F16" s="11"/>
      <c r="G16" s="11"/>
    </row>
    <row r="17" customFormat="false" ht="19.5" hidden="false" customHeight="true" outlineLevel="0" collapsed="false">
      <c r="A17" s="12" t="s">
        <v>270</v>
      </c>
      <c r="B17" s="39" t="s">
        <v>163</v>
      </c>
      <c r="C17" s="38" t="s">
        <v>271</v>
      </c>
      <c r="D17" s="39" t="s">
        <v>163</v>
      </c>
      <c r="E17" s="39" t="s">
        <v>163</v>
      </c>
      <c r="F17" s="38" t="s">
        <v>272</v>
      </c>
      <c r="G17" s="39" t="s">
        <v>163</v>
      </c>
    </row>
    <row r="18" customFormat="false" ht="19.5" hidden="false" customHeight="true" outlineLevel="0" collapsed="false">
      <c r="A18" s="12" t="s">
        <v>273</v>
      </c>
      <c r="B18" s="38" t="s">
        <v>258</v>
      </c>
      <c r="C18" s="40" t="s">
        <v>163</v>
      </c>
      <c r="D18" s="40" t="s">
        <v>163</v>
      </c>
      <c r="E18" s="40" t="s">
        <v>163</v>
      </c>
      <c r="F18" s="40" t="s">
        <v>163</v>
      </c>
      <c r="G18" s="40" t="s">
        <v>163</v>
      </c>
    </row>
    <row r="19" customFormat="false" ht="19.5" hidden="false" customHeight="true" outlineLevel="0" collapsed="false">
      <c r="A19" s="12" t="s">
        <v>274</v>
      </c>
      <c r="B19" s="39" t="s">
        <v>163</v>
      </c>
      <c r="C19" s="39" t="s">
        <v>163</v>
      </c>
      <c r="D19" s="39" t="s">
        <v>163</v>
      </c>
      <c r="E19" s="38" t="s">
        <v>258</v>
      </c>
      <c r="F19" s="39" t="s">
        <v>163</v>
      </c>
      <c r="G19" s="39" t="s">
        <v>163</v>
      </c>
    </row>
    <row r="20" customFormat="false" ht="19.5" hidden="false" customHeight="true" outlineLevel="0" collapsed="false">
      <c r="A20" s="12" t="s">
        <v>275</v>
      </c>
      <c r="B20" s="40" t="s">
        <v>163</v>
      </c>
      <c r="C20" s="40" t="s">
        <v>163</v>
      </c>
      <c r="D20" s="40" t="s">
        <v>163</v>
      </c>
      <c r="E20" s="38" t="s">
        <v>258</v>
      </c>
      <c r="F20" s="40" t="s">
        <v>163</v>
      </c>
      <c r="G20" s="40" t="s">
        <v>163</v>
      </c>
    </row>
    <row r="21" customFormat="false" ht="21.75" hidden="false" customHeight="true" outlineLevel="0" collapsed="false">
      <c r="A21" s="11" t="s">
        <v>276</v>
      </c>
      <c r="B21" s="11"/>
      <c r="C21" s="11"/>
      <c r="D21" s="11"/>
      <c r="E21" s="11"/>
      <c r="F21" s="11"/>
      <c r="G21" s="11"/>
    </row>
    <row r="22" customFormat="false" ht="19.5" hidden="false" customHeight="true" outlineLevel="0" collapsed="false">
      <c r="A22" s="12" t="s">
        <v>277</v>
      </c>
      <c r="B22" s="38" t="s">
        <v>258</v>
      </c>
      <c r="C22" s="39" t="s">
        <v>163</v>
      </c>
      <c r="D22" s="39" t="s">
        <v>163</v>
      </c>
      <c r="E22" s="38" t="s">
        <v>278</v>
      </c>
      <c r="F22" s="39" t="s">
        <v>163</v>
      </c>
      <c r="G22" s="39" t="s">
        <v>163</v>
      </c>
    </row>
    <row r="23" customFormat="false" ht="19.5" hidden="false" customHeight="true" outlineLevel="0" collapsed="false">
      <c r="A23" s="12" t="s">
        <v>279</v>
      </c>
      <c r="B23" s="38" t="s">
        <v>258</v>
      </c>
      <c r="C23" s="40" t="s">
        <v>163</v>
      </c>
      <c r="D23" s="40" t="s">
        <v>163</v>
      </c>
      <c r="E23" s="40" t="s">
        <v>163</v>
      </c>
      <c r="F23" s="40" t="s">
        <v>163</v>
      </c>
      <c r="G23" s="40" t="s">
        <v>163</v>
      </c>
    </row>
    <row r="24" customFormat="false" ht="19.5" hidden="false" customHeight="true" outlineLevel="0" collapsed="false">
      <c r="A24" s="12" t="s">
        <v>280</v>
      </c>
      <c r="B24" s="41" t="s">
        <v>268</v>
      </c>
      <c r="C24" s="39" t="s">
        <v>163</v>
      </c>
      <c r="D24" s="39" t="s">
        <v>163</v>
      </c>
      <c r="E24" s="41" t="s">
        <v>268</v>
      </c>
      <c r="F24" s="39" t="s">
        <v>163</v>
      </c>
      <c r="G24" s="39" t="s">
        <v>163</v>
      </c>
    </row>
    <row r="25" customFormat="false" ht="19.5" hidden="false" customHeight="true" outlineLevel="0" collapsed="false">
      <c r="A25" s="12" t="s">
        <v>281</v>
      </c>
      <c r="B25" s="38" t="s">
        <v>258</v>
      </c>
      <c r="C25" s="40" t="s">
        <v>163</v>
      </c>
      <c r="D25" s="40" t="s">
        <v>163</v>
      </c>
      <c r="E25" s="40" t="s">
        <v>163</v>
      </c>
      <c r="F25" s="40" t="s">
        <v>163</v>
      </c>
      <c r="G25" s="40" t="s">
        <v>163</v>
      </c>
    </row>
    <row r="26" customFormat="false" ht="19.5" hidden="false" customHeight="true" outlineLevel="0" collapsed="false">
      <c r="A26" s="12" t="s">
        <v>282</v>
      </c>
      <c r="B26" s="39" t="s">
        <v>163</v>
      </c>
      <c r="C26" s="38" t="s">
        <v>258</v>
      </c>
      <c r="D26" s="38" t="s">
        <v>258</v>
      </c>
      <c r="E26" s="39" t="s">
        <v>163</v>
      </c>
      <c r="F26" s="39" t="s">
        <v>163</v>
      </c>
      <c r="G26" s="39" t="s">
        <v>163</v>
      </c>
    </row>
    <row r="27" customFormat="false" ht="19.5" hidden="false" customHeight="true" outlineLevel="0" collapsed="false">
      <c r="A27" s="12" t="s">
        <v>283</v>
      </c>
      <c r="B27" s="40" t="s">
        <v>163</v>
      </c>
      <c r="C27" s="40" t="s">
        <v>163</v>
      </c>
      <c r="D27" s="40" t="s">
        <v>163</v>
      </c>
      <c r="E27" s="38" t="s">
        <v>258</v>
      </c>
      <c r="F27" s="40" t="s">
        <v>163</v>
      </c>
      <c r="G27" s="40" t="s">
        <v>163</v>
      </c>
    </row>
    <row r="28" customFormat="false" ht="21.75" hidden="false" customHeight="true" outlineLevel="0" collapsed="false">
      <c r="A28" s="11" t="s">
        <v>284</v>
      </c>
      <c r="B28" s="11"/>
      <c r="C28" s="11"/>
      <c r="D28" s="11"/>
      <c r="E28" s="11"/>
      <c r="F28" s="11"/>
      <c r="G28" s="11"/>
    </row>
    <row r="29" customFormat="false" ht="19.5" hidden="false" customHeight="true" outlineLevel="0" collapsed="false">
      <c r="A29" s="12" t="s">
        <v>285</v>
      </c>
      <c r="B29" s="38" t="s">
        <v>258</v>
      </c>
      <c r="C29" s="38" t="s">
        <v>286</v>
      </c>
      <c r="D29" s="38" t="s">
        <v>286</v>
      </c>
      <c r="E29" s="38" t="s">
        <v>258</v>
      </c>
      <c r="F29" s="38" t="s">
        <v>286</v>
      </c>
      <c r="G29" s="38" t="s">
        <v>258</v>
      </c>
    </row>
    <row r="30" customFormat="false" ht="19.5" hidden="false" customHeight="true" outlineLevel="0" collapsed="false">
      <c r="A30" s="12" t="s">
        <v>287</v>
      </c>
      <c r="B30" s="42" t="s">
        <v>268</v>
      </c>
      <c r="C30" s="40" t="s">
        <v>163</v>
      </c>
      <c r="D30" s="40" t="s">
        <v>163</v>
      </c>
      <c r="E30" s="40" t="s">
        <v>163</v>
      </c>
      <c r="F30" s="42" t="s">
        <v>268</v>
      </c>
      <c r="G30" s="40" t="s">
        <v>163</v>
      </c>
    </row>
    <row r="31" customFormat="false" ht="19.5" hidden="false" customHeight="true" outlineLevel="0" collapsed="false">
      <c r="A31" s="12" t="s">
        <v>288</v>
      </c>
      <c r="B31" s="39" t="s">
        <v>163</v>
      </c>
      <c r="C31" s="39" t="s">
        <v>163</v>
      </c>
      <c r="D31" s="39" t="s">
        <v>163</v>
      </c>
      <c r="E31" s="39" t="s">
        <v>163</v>
      </c>
      <c r="F31" s="38" t="s">
        <v>258</v>
      </c>
      <c r="G31" s="39" t="s">
        <v>163</v>
      </c>
    </row>
    <row r="32" customFormat="false" ht="19.5" hidden="false" customHeight="true" outlineLevel="0" collapsed="false">
      <c r="A32" s="12" t="s">
        <v>289</v>
      </c>
      <c r="B32" s="40" t="s">
        <v>163</v>
      </c>
      <c r="C32" s="40" t="s">
        <v>163</v>
      </c>
      <c r="D32" s="40" t="s">
        <v>163</v>
      </c>
      <c r="E32" s="40" t="s">
        <v>163</v>
      </c>
      <c r="F32" s="38" t="s">
        <v>258</v>
      </c>
      <c r="G32" s="40" t="s">
        <v>163</v>
      </c>
    </row>
    <row r="33" customFormat="false" ht="19.5" hidden="false" customHeight="true" outlineLevel="0" collapsed="false">
      <c r="A33" s="12" t="s">
        <v>290</v>
      </c>
      <c r="B33" s="39" t="s">
        <v>163</v>
      </c>
      <c r="C33" s="39" t="s">
        <v>163</v>
      </c>
      <c r="D33" s="39" t="s">
        <v>163</v>
      </c>
      <c r="E33" s="39" t="s">
        <v>163</v>
      </c>
      <c r="F33" s="38" t="s">
        <v>258</v>
      </c>
      <c r="G33" s="39" t="s">
        <v>163</v>
      </c>
    </row>
    <row r="34" customFormat="false" ht="19.5" hidden="false" customHeight="true" outlineLevel="0" collapsed="false">
      <c r="A34" s="12" t="s">
        <v>291</v>
      </c>
      <c r="B34" s="40" t="s">
        <v>163</v>
      </c>
      <c r="C34" s="40" t="s">
        <v>163</v>
      </c>
      <c r="D34" s="40" t="s">
        <v>163</v>
      </c>
      <c r="E34" s="40" t="s">
        <v>163</v>
      </c>
      <c r="F34" s="40" t="s">
        <v>163</v>
      </c>
      <c r="G34" s="38" t="s">
        <v>258</v>
      </c>
    </row>
    <row r="35" customFormat="false" ht="19.5" hidden="false" customHeight="true" outlineLevel="0" collapsed="false">
      <c r="A35" s="12" t="s">
        <v>292</v>
      </c>
      <c r="B35" s="38" t="s">
        <v>258</v>
      </c>
      <c r="C35" s="38" t="s">
        <v>258</v>
      </c>
      <c r="D35" s="39" t="s">
        <v>163</v>
      </c>
      <c r="E35" s="38" t="s">
        <v>258</v>
      </c>
      <c r="F35" s="38" t="s">
        <v>258</v>
      </c>
      <c r="G35" s="38" t="s">
        <v>258</v>
      </c>
    </row>
    <row r="36" customFormat="false" ht="19.5" hidden="false" customHeight="true" outlineLevel="0" collapsed="false">
      <c r="A36" s="12" t="s">
        <v>293</v>
      </c>
      <c r="B36" s="40" t="s">
        <v>163</v>
      </c>
      <c r="C36" s="40" t="s">
        <v>163</v>
      </c>
      <c r="D36" s="40" t="s">
        <v>163</v>
      </c>
      <c r="E36" s="40" t="s">
        <v>163</v>
      </c>
      <c r="F36" s="38" t="s">
        <v>258</v>
      </c>
      <c r="G36" s="40" t="s">
        <v>163</v>
      </c>
    </row>
    <row r="37" customFormat="false" ht="19.5" hidden="false" customHeight="true" outlineLevel="0" collapsed="false">
      <c r="A37" s="12" t="s">
        <v>294</v>
      </c>
      <c r="B37" s="38" t="s">
        <v>295</v>
      </c>
      <c r="C37" s="39" t="s">
        <v>163</v>
      </c>
      <c r="D37" s="39" t="s">
        <v>163</v>
      </c>
      <c r="E37" s="38" t="s">
        <v>296</v>
      </c>
      <c r="F37" s="39" t="s">
        <v>163</v>
      </c>
      <c r="G37" s="38" t="s">
        <v>258</v>
      </c>
    </row>
    <row r="38" customFormat="false" ht="19.5" hidden="false" customHeight="true" outlineLevel="0" collapsed="false">
      <c r="A38" s="12" t="s">
        <v>297</v>
      </c>
      <c r="B38" s="38" t="s">
        <v>258</v>
      </c>
      <c r="C38" s="40" t="s">
        <v>163</v>
      </c>
      <c r="D38" s="40" t="s">
        <v>163</v>
      </c>
      <c r="E38" s="38" t="s">
        <v>258</v>
      </c>
      <c r="F38" s="40" t="s">
        <v>163</v>
      </c>
      <c r="G38" s="38" t="s">
        <v>258</v>
      </c>
    </row>
    <row r="39" customFormat="false" ht="19.5" hidden="false" customHeight="true" outlineLevel="0" collapsed="false">
      <c r="A39" s="12" t="s">
        <v>298</v>
      </c>
      <c r="B39" s="43" t="s">
        <v>299</v>
      </c>
      <c r="C39" s="38" t="s">
        <v>258</v>
      </c>
      <c r="D39" s="39" t="s">
        <v>163</v>
      </c>
      <c r="E39" s="39" t="s">
        <v>163</v>
      </c>
      <c r="F39" s="39" t="s">
        <v>163</v>
      </c>
      <c r="G39" s="38" t="s">
        <v>258</v>
      </c>
    </row>
    <row r="40" customFormat="false" ht="19.5" hidden="false" customHeight="true" outlineLevel="0" collapsed="false">
      <c r="A40" s="12" t="s">
        <v>300</v>
      </c>
      <c r="B40" s="38" t="s">
        <v>258</v>
      </c>
      <c r="C40" s="38" t="s">
        <v>258</v>
      </c>
      <c r="D40" s="38" t="s">
        <v>258</v>
      </c>
      <c r="E40" s="38" t="s">
        <v>258</v>
      </c>
      <c r="F40" s="38" t="s">
        <v>258</v>
      </c>
      <c r="G40" s="38" t="s">
        <v>258</v>
      </c>
    </row>
    <row r="41" customFormat="false" ht="19.5" hidden="false" customHeight="true" outlineLevel="0" collapsed="false">
      <c r="A41" s="12" t="s">
        <v>301</v>
      </c>
      <c r="B41" s="38" t="s">
        <v>258</v>
      </c>
      <c r="C41" s="39" t="s">
        <v>163</v>
      </c>
      <c r="D41" s="39" t="s">
        <v>163</v>
      </c>
      <c r="E41" s="39" t="s">
        <v>163</v>
      </c>
      <c r="F41" s="38" t="s">
        <v>302</v>
      </c>
      <c r="G41" s="39" t="s">
        <v>163</v>
      </c>
    </row>
    <row r="42" customFormat="false" ht="19.5" hidden="false" customHeight="true" outlineLevel="0" collapsed="false">
      <c r="A42" s="12" t="s">
        <v>303</v>
      </c>
      <c r="B42" s="40" t="s">
        <v>163</v>
      </c>
      <c r="C42" s="38" t="s">
        <v>258</v>
      </c>
      <c r="D42" s="40" t="s">
        <v>163</v>
      </c>
      <c r="E42" s="38" t="s">
        <v>258</v>
      </c>
      <c r="F42" s="40" t="s">
        <v>163</v>
      </c>
      <c r="G42" s="38" t="s">
        <v>258</v>
      </c>
    </row>
    <row r="43" customFormat="false" ht="19.5" hidden="false" customHeight="true" outlineLevel="0" collapsed="false">
      <c r="A43" s="12" t="s">
        <v>304</v>
      </c>
      <c r="B43" s="39" t="s">
        <v>163</v>
      </c>
      <c r="C43" s="39" t="s">
        <v>163</v>
      </c>
      <c r="D43" s="38" t="s">
        <v>258</v>
      </c>
      <c r="E43" s="38" t="s">
        <v>258</v>
      </c>
      <c r="F43" s="39" t="s">
        <v>163</v>
      </c>
      <c r="G43" s="38" t="s">
        <v>258</v>
      </c>
    </row>
    <row r="44" customFormat="false" ht="19.5" hidden="false" customHeight="true" outlineLevel="0" collapsed="false">
      <c r="A44" s="12" t="s">
        <v>305</v>
      </c>
      <c r="B44" s="40" t="s">
        <v>163</v>
      </c>
      <c r="C44" s="40" t="s">
        <v>163</v>
      </c>
      <c r="D44" s="40" t="s">
        <v>163</v>
      </c>
      <c r="E44" s="38" t="s">
        <v>258</v>
      </c>
      <c r="F44" s="40" t="s">
        <v>163</v>
      </c>
      <c r="G44" s="40" t="s">
        <v>163</v>
      </c>
    </row>
    <row r="45" customFormat="false" ht="19.5" hidden="false" customHeight="true" outlineLevel="0" collapsed="false">
      <c r="A45" s="12" t="s">
        <v>306</v>
      </c>
      <c r="B45" s="39" t="s">
        <v>163</v>
      </c>
      <c r="C45" s="39" t="s">
        <v>163</v>
      </c>
      <c r="D45" s="39" t="s">
        <v>163</v>
      </c>
      <c r="E45" s="38" t="s">
        <v>258</v>
      </c>
      <c r="F45" s="39" t="s">
        <v>163</v>
      </c>
      <c r="G45" s="39" t="s">
        <v>163</v>
      </c>
    </row>
    <row r="46" customFormat="false" ht="19.5" hidden="false" customHeight="true" outlineLevel="0" collapsed="false">
      <c r="A46" s="12" t="s">
        <v>307</v>
      </c>
      <c r="B46" s="40" t="s">
        <v>163</v>
      </c>
      <c r="C46" s="40" t="s">
        <v>163</v>
      </c>
      <c r="D46" s="40" t="s">
        <v>163</v>
      </c>
      <c r="E46" s="40" t="s">
        <v>163</v>
      </c>
      <c r="F46" s="40" t="s">
        <v>163</v>
      </c>
      <c r="G46" s="38" t="s">
        <v>258</v>
      </c>
    </row>
    <row r="47" customFormat="false" ht="19.5" hidden="false" customHeight="true" outlineLevel="0" collapsed="false">
      <c r="A47" s="12" t="s">
        <v>308</v>
      </c>
      <c r="B47" s="39" t="s">
        <v>163</v>
      </c>
      <c r="C47" s="39" t="s">
        <v>163</v>
      </c>
      <c r="D47" s="39" t="s">
        <v>163</v>
      </c>
      <c r="E47" s="39" t="s">
        <v>163</v>
      </c>
      <c r="F47" s="39" t="s">
        <v>163</v>
      </c>
      <c r="G47" s="38" t="s">
        <v>258</v>
      </c>
    </row>
    <row r="48" customFormat="false" ht="21.75" hidden="false" customHeight="true" outlineLevel="0" collapsed="false">
      <c r="A48" s="11" t="s">
        <v>309</v>
      </c>
      <c r="B48" s="11"/>
      <c r="C48" s="11"/>
      <c r="D48" s="11"/>
      <c r="E48" s="11"/>
      <c r="F48" s="11"/>
      <c r="G48" s="11"/>
    </row>
    <row r="49" customFormat="false" ht="19.5" hidden="false" customHeight="true" outlineLevel="0" collapsed="false">
      <c r="A49" s="12" t="s">
        <v>310</v>
      </c>
      <c r="B49" s="38" t="s">
        <v>311</v>
      </c>
      <c r="C49" s="38" t="s">
        <v>312</v>
      </c>
      <c r="D49" s="38" t="s">
        <v>312</v>
      </c>
      <c r="E49" s="38" t="s">
        <v>311</v>
      </c>
      <c r="F49" s="38" t="s">
        <v>312</v>
      </c>
      <c r="G49" s="38" t="s">
        <v>258</v>
      </c>
    </row>
    <row r="50" customFormat="false" ht="19.5" hidden="false" customHeight="true" outlineLevel="0" collapsed="false">
      <c r="A50" s="12" t="s">
        <v>313</v>
      </c>
      <c r="B50" s="38" t="s">
        <v>258</v>
      </c>
      <c r="C50" s="40" t="s">
        <v>163</v>
      </c>
      <c r="D50" s="38" t="s">
        <v>258</v>
      </c>
      <c r="E50" s="38" t="s">
        <v>258</v>
      </c>
      <c r="F50" s="38" t="s">
        <v>258</v>
      </c>
      <c r="G50" s="40" t="s">
        <v>163</v>
      </c>
    </row>
    <row r="51" customFormat="false" ht="19.5" hidden="false" customHeight="true" outlineLevel="0" collapsed="false">
      <c r="A51" s="12" t="s">
        <v>215</v>
      </c>
      <c r="B51" s="39" t="s">
        <v>163</v>
      </c>
      <c r="C51" s="38" t="s">
        <v>258</v>
      </c>
      <c r="D51" s="39" t="s">
        <v>163</v>
      </c>
      <c r="E51" s="39" t="s">
        <v>163</v>
      </c>
      <c r="F51" s="39" t="s">
        <v>163</v>
      </c>
      <c r="G51" s="38" t="s">
        <v>258</v>
      </c>
    </row>
    <row r="52" customFormat="false" ht="19.5" hidden="false" customHeight="true" outlineLevel="0" collapsed="false">
      <c r="A52" s="12" t="s">
        <v>314</v>
      </c>
      <c r="B52" s="40" t="s">
        <v>163</v>
      </c>
      <c r="C52" s="38" t="s">
        <v>258</v>
      </c>
      <c r="D52" s="40" t="s">
        <v>163</v>
      </c>
      <c r="E52" s="40" t="s">
        <v>163</v>
      </c>
      <c r="F52" s="40" t="s">
        <v>163</v>
      </c>
      <c r="G52" s="40" t="s">
        <v>163</v>
      </c>
    </row>
    <row r="53" customFormat="false" ht="19.5" hidden="false" customHeight="true" outlineLevel="0" collapsed="false">
      <c r="A53" s="12" t="s">
        <v>315</v>
      </c>
      <c r="B53" s="38" t="s">
        <v>258</v>
      </c>
      <c r="C53" s="39" t="s">
        <v>163</v>
      </c>
      <c r="D53" s="39" t="s">
        <v>163</v>
      </c>
      <c r="E53" s="39" t="s">
        <v>163</v>
      </c>
      <c r="F53" s="38" t="s">
        <v>258</v>
      </c>
      <c r="G53" s="39" t="s">
        <v>163</v>
      </c>
    </row>
    <row r="54" customFormat="false" ht="19.5" hidden="false" customHeight="true" outlineLevel="0" collapsed="false">
      <c r="A54" s="12" t="s">
        <v>316</v>
      </c>
      <c r="B54" s="40" t="s">
        <v>163</v>
      </c>
      <c r="C54" s="40" t="s">
        <v>163</v>
      </c>
      <c r="D54" s="44" t="s">
        <v>317</v>
      </c>
      <c r="E54" s="44" t="s">
        <v>317</v>
      </c>
      <c r="F54" s="40" t="s">
        <v>163</v>
      </c>
      <c r="G54" s="40" t="s">
        <v>163</v>
      </c>
    </row>
    <row r="55" customFormat="false" ht="21.75" hidden="false" customHeight="true" outlineLevel="0" collapsed="false">
      <c r="A55" s="11" t="s">
        <v>318</v>
      </c>
      <c r="B55" s="11"/>
      <c r="C55" s="11"/>
      <c r="D55" s="11"/>
      <c r="E55" s="11"/>
      <c r="F55" s="11"/>
      <c r="G55" s="11"/>
    </row>
    <row r="56" customFormat="false" ht="25.5" hidden="false" customHeight="true" outlineLevel="0" collapsed="false">
      <c r="A56" s="12" t="s">
        <v>319</v>
      </c>
      <c r="B56" s="35" t="n">
        <f aca="false">COUNTIF(B6:B54,"✓*")</f>
        <v>18</v>
      </c>
      <c r="C56" s="35" t="n">
        <f aca="false">COUNTIF(C6:C54,"✓*")</f>
        <v>15</v>
      </c>
      <c r="D56" s="35" t="n">
        <f aca="false">COUNTIF(D6:D54,"✓*")</f>
        <v>9</v>
      </c>
      <c r="E56" s="35" t="n">
        <f aca="false">COUNTIF(E6:E54,"✓*")</f>
        <v>19</v>
      </c>
      <c r="F56" s="35" t="n">
        <f aca="false">COUNTIF(F6:F54,"✓*")</f>
        <v>18</v>
      </c>
      <c r="G56" s="35" t="n">
        <f aca="false">COUNTIF(G6:G54,"✓*")</f>
        <v>13</v>
      </c>
    </row>
    <row r="57" customFormat="false" ht="21" hidden="false" customHeight="true" outlineLevel="0" collapsed="false">
      <c r="A57" s="12" t="s">
        <v>320</v>
      </c>
      <c r="B57" s="14" t="n">
        <f aca="false">COUNTIF(B6:B54,"Photo stop")</f>
        <v>2</v>
      </c>
      <c r="C57" s="14" t="n">
        <f aca="false">COUNTIF(C6:C54,"Photo stop")</f>
        <v>0</v>
      </c>
      <c r="D57" s="14" t="n">
        <f aca="false">COUNTIF(D6:D54,"Photo stop")</f>
        <v>0</v>
      </c>
      <c r="E57" s="14" t="n">
        <f aca="false">COUNTIF(E6:E54,"Photo stop")</f>
        <v>2</v>
      </c>
      <c r="F57" s="14" t="n">
        <f aca="false">COUNTIF(F6:F54,"Photo stop")</f>
        <v>1</v>
      </c>
      <c r="G57" s="14" t="n">
        <f aca="false">COUNTIF(G6:G54,"Photo stop")</f>
        <v>0</v>
      </c>
    </row>
    <row r="58" customFormat="false" ht="21" hidden="false" customHeight="true" outlineLevel="0" collapsed="false">
      <c r="A58" s="12" t="s">
        <v>321</v>
      </c>
      <c r="B58" s="19" t="n">
        <f aca="false">B56/'Days &amp; Flights'!B11</f>
        <v>3.6</v>
      </c>
      <c r="C58" s="19" t="n">
        <f aca="false">C56/'Days &amp; Flights'!C11</f>
        <v>3</v>
      </c>
      <c r="D58" s="19" t="n">
        <f aca="false">D56/'Days &amp; Flights'!D11</f>
        <v>2.25</v>
      </c>
      <c r="E58" s="19" t="n">
        <f aca="false">E56/'Days &amp; Flights'!E11</f>
        <v>3.8</v>
      </c>
      <c r="F58" s="19" t="n">
        <f aca="false">F56/'Days &amp; Flights'!F11</f>
        <v>3.6</v>
      </c>
      <c r="G58" s="19" t="n">
        <f aca="false">G56/'Days &amp; Flights'!G11</f>
        <v>4.33333333333333</v>
      </c>
    </row>
    <row r="60" customFormat="false" ht="30" hidden="false" customHeight="true" outlineLevel="0" collapsed="false">
      <c r="A60" s="21" t="s">
        <v>322</v>
      </c>
      <c r="B60" s="21"/>
      <c r="C60" s="21"/>
      <c r="D60" s="21"/>
      <c r="E60" s="21"/>
      <c r="F60" s="21"/>
      <c r="G60" s="21"/>
    </row>
  </sheetData>
  <mergeCells count="9">
    <mergeCell ref="A1:G1"/>
    <mergeCell ref="A2:G2"/>
    <mergeCell ref="A6:G6"/>
    <mergeCell ref="A16:G16"/>
    <mergeCell ref="A21:G21"/>
    <mergeCell ref="A28:G28"/>
    <mergeCell ref="A48:G48"/>
    <mergeCell ref="A55:G55"/>
    <mergeCell ref="A60:G60"/>
  </mergeCells>
  <conditionalFormatting sqref="B56:G56">
    <cfRule type="colorScale" priority="2">
      <colorScale>
        <cfvo type="min" val="0"/>
        <cfvo type="percentile" val="50"/>
        <cfvo type="max" val="0"/>
        <color rgb="FFF8C8C8"/>
        <color rgb="FFFFF4CC"/>
        <color rgb="FFC8E6C9"/>
      </colorScale>
    </cfRule>
  </conditionalFormatting>
  <conditionalFormatting sqref="B58:G58">
    <cfRule type="colorScale" priority="3">
      <colorScale>
        <cfvo type="min" val="0"/>
        <cfvo type="percentile" val="50"/>
        <cfvo type="max" val="0"/>
        <color rgb="FFF8C8C8"/>
        <color rgb="FFFFF4CC"/>
        <color rgb="FFC8E6C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5BB5"/>
    <pageSetUpPr fitToPage="tru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323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324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5" customFormat="false" ht="25.5" hidden="false" customHeight="true" outlineLevel="0" collapsed="false">
      <c r="A5" s="4" t="s">
        <v>325</v>
      </c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10" t="s">
        <v>8</v>
      </c>
    </row>
    <row r="6" customFormat="false" ht="21.75" hidden="false" customHeight="true" outlineLevel="0" collapsed="false">
      <c r="A6" s="11" t="s">
        <v>326</v>
      </c>
      <c r="B6" s="11"/>
      <c r="C6" s="11"/>
      <c r="D6" s="11"/>
      <c r="E6" s="11"/>
      <c r="F6" s="11"/>
      <c r="G6" s="11"/>
    </row>
    <row r="7" customFormat="false" ht="21" hidden="false" customHeight="true" outlineLevel="0" collapsed="false">
      <c r="A7" s="12" t="s">
        <v>327</v>
      </c>
      <c r="B7" s="30" t="n">
        <v>5</v>
      </c>
      <c r="C7" s="30" t="n">
        <v>4</v>
      </c>
      <c r="D7" s="30" t="n">
        <v>2</v>
      </c>
      <c r="E7" s="30" t="n">
        <v>5</v>
      </c>
      <c r="F7" s="30" t="n">
        <v>4</v>
      </c>
      <c r="G7" s="30" t="n">
        <v>3</v>
      </c>
    </row>
    <row r="8" customFormat="false" ht="21" hidden="false" customHeight="true" outlineLevel="0" collapsed="false">
      <c r="A8" s="12" t="s">
        <v>328</v>
      </c>
      <c r="B8" s="30" t="n">
        <v>4</v>
      </c>
      <c r="C8" s="30" t="n">
        <v>3</v>
      </c>
      <c r="D8" s="30" t="n">
        <v>1</v>
      </c>
      <c r="E8" s="30" t="n">
        <v>1</v>
      </c>
      <c r="F8" s="30" t="n">
        <v>5</v>
      </c>
      <c r="G8" s="30" t="n">
        <v>0</v>
      </c>
    </row>
    <row r="9" customFormat="false" ht="21" hidden="false" customHeight="true" outlineLevel="0" collapsed="false">
      <c r="A9" s="12" t="s">
        <v>329</v>
      </c>
      <c r="B9" s="30" t="n">
        <v>5</v>
      </c>
      <c r="C9" s="30" t="n">
        <v>3</v>
      </c>
      <c r="D9" s="30" t="n">
        <v>3</v>
      </c>
      <c r="E9" s="30" t="n">
        <v>5</v>
      </c>
      <c r="F9" s="30" t="n">
        <v>4</v>
      </c>
      <c r="G9" s="30" t="n">
        <v>3</v>
      </c>
    </row>
    <row r="10" customFormat="false" ht="21" hidden="false" customHeight="true" outlineLevel="0" collapsed="false">
      <c r="A10" s="12" t="s">
        <v>330</v>
      </c>
      <c r="B10" s="30" t="n">
        <v>4</v>
      </c>
      <c r="C10" s="30" t="n">
        <v>4</v>
      </c>
      <c r="D10" s="30" t="n">
        <v>3</v>
      </c>
      <c r="E10" s="30" t="n">
        <v>5</v>
      </c>
      <c r="F10" s="30" t="n">
        <v>4</v>
      </c>
      <c r="G10" s="30" t="n">
        <v>2</v>
      </c>
    </row>
    <row r="11" customFormat="false" ht="21" hidden="false" customHeight="true" outlineLevel="0" collapsed="false">
      <c r="A11" s="12" t="s">
        <v>331</v>
      </c>
      <c r="B11" s="30" t="n">
        <v>3</v>
      </c>
      <c r="C11" s="30" t="n">
        <v>5</v>
      </c>
      <c r="D11" s="30" t="n">
        <v>2</v>
      </c>
      <c r="E11" s="30" t="n">
        <v>4</v>
      </c>
      <c r="F11" s="30" t="n">
        <v>4</v>
      </c>
      <c r="G11" s="30" t="n">
        <v>3</v>
      </c>
    </row>
    <row r="12" customFormat="false" ht="21" hidden="false" customHeight="true" outlineLevel="0" collapsed="false">
      <c r="A12" s="12" t="s">
        <v>332</v>
      </c>
      <c r="B12" s="30" t="n">
        <v>3</v>
      </c>
      <c r="C12" s="30" t="n">
        <v>2</v>
      </c>
      <c r="D12" s="30" t="n">
        <v>2</v>
      </c>
      <c r="E12" s="30" t="n">
        <v>4</v>
      </c>
      <c r="F12" s="30" t="n">
        <v>3</v>
      </c>
      <c r="G12" s="30" t="n">
        <v>3</v>
      </c>
    </row>
    <row r="13" customFormat="false" ht="21" hidden="false" customHeight="true" outlineLevel="0" collapsed="false">
      <c r="A13" s="12" t="s">
        <v>333</v>
      </c>
      <c r="B13" s="30" t="n">
        <v>3</v>
      </c>
      <c r="C13" s="30" t="n">
        <v>4</v>
      </c>
      <c r="D13" s="30" t="n">
        <v>2</v>
      </c>
      <c r="E13" s="30" t="n">
        <v>5</v>
      </c>
      <c r="F13" s="30" t="n">
        <v>4</v>
      </c>
      <c r="G13" s="30" t="n">
        <v>3</v>
      </c>
    </row>
    <row r="14" customFormat="false" ht="25.5" hidden="false" customHeight="true" outlineLevel="0" collapsed="false">
      <c r="A14" s="12" t="s">
        <v>334</v>
      </c>
      <c r="B14" s="45" t="n">
        <f aca="false">AVERAGE(B7:B13)</f>
        <v>3.85714285714286</v>
      </c>
      <c r="C14" s="45" t="n">
        <f aca="false">AVERAGE(C7:C13)</f>
        <v>3.57142857142857</v>
      </c>
      <c r="D14" s="45" t="n">
        <f aca="false">AVERAGE(D7:D13)</f>
        <v>2.14285714285714</v>
      </c>
      <c r="E14" s="45" t="n">
        <f aca="false">AVERAGE(E7:E13)</f>
        <v>4.14285714285714</v>
      </c>
      <c r="F14" s="45" t="n">
        <f aca="false">AVERAGE(F7:F13)</f>
        <v>4</v>
      </c>
      <c r="G14" s="45" t="n">
        <f aca="false">AVERAGE(G7:G13)</f>
        <v>2.42857142857143</v>
      </c>
    </row>
    <row r="15" customFormat="false" ht="21" hidden="false" customHeight="true" outlineLevel="0" collapsed="false">
      <c r="A15" s="12" t="s">
        <v>335</v>
      </c>
      <c r="B15" s="18" t="n">
        <f aca="false">RANK(B14,$B$14:$G$14,0)</f>
        <v>3</v>
      </c>
      <c r="C15" s="18" t="n">
        <f aca="false">RANK(C14,$B$14:$G$14,0)</f>
        <v>4</v>
      </c>
      <c r="D15" s="18" t="n">
        <f aca="false">RANK(D14,$B$14:$G$14,0)</f>
        <v>6</v>
      </c>
      <c r="E15" s="18" t="n">
        <f aca="false">RANK(E14,$B$14:$G$14,0)</f>
        <v>1</v>
      </c>
      <c r="F15" s="18" t="n">
        <f aca="false">RANK(F14,$B$14:$G$14,0)</f>
        <v>2</v>
      </c>
      <c r="G15" s="18" t="n">
        <f aca="false">RANK(G14,$B$14:$G$14,0)</f>
        <v>5</v>
      </c>
    </row>
    <row r="16" customFormat="false" ht="21.75" hidden="false" customHeight="true" outlineLevel="0" collapsed="false">
      <c r="A16" s="11" t="s">
        <v>336</v>
      </c>
      <c r="B16" s="11"/>
      <c r="C16" s="11"/>
      <c r="D16" s="11"/>
      <c r="E16" s="11"/>
      <c r="F16" s="11"/>
      <c r="G16" s="11"/>
    </row>
    <row r="17" customFormat="false" ht="21" hidden="false" customHeight="true" outlineLevel="0" collapsed="false">
      <c r="A17" s="12" t="s">
        <v>327</v>
      </c>
      <c r="B17" s="46" t="str">
        <f aca="false">REPT("★",B7)&amp;REPT("☆",5-B7)</f>
        <v>★★★★★</v>
      </c>
      <c r="C17" s="46" t="str">
        <f aca="false">REPT("★",C7)&amp;REPT("☆",5-C7)</f>
        <v>★★★★☆</v>
      </c>
      <c r="D17" s="46" t="str">
        <f aca="false">REPT("★",D7)&amp;REPT("☆",5-D7)</f>
        <v>★★☆☆☆</v>
      </c>
      <c r="E17" s="46" t="str">
        <f aca="false">REPT("★",E7)&amp;REPT("☆",5-E7)</f>
        <v>★★★★★</v>
      </c>
      <c r="F17" s="46" t="str">
        <f aca="false">REPT("★",F7)&amp;REPT("☆",5-F7)</f>
        <v>★★★★☆</v>
      </c>
      <c r="G17" s="46" t="str">
        <f aca="false">REPT("★",G7)&amp;REPT("☆",5-G7)</f>
        <v>★★★☆☆</v>
      </c>
    </row>
    <row r="18" customFormat="false" ht="21" hidden="false" customHeight="true" outlineLevel="0" collapsed="false">
      <c r="A18" s="12" t="s">
        <v>328</v>
      </c>
      <c r="B18" s="46" t="str">
        <f aca="false">REPT("★",B8)&amp;REPT("☆",5-B8)</f>
        <v>★★★★☆</v>
      </c>
      <c r="C18" s="46" t="str">
        <f aca="false">REPT("★",C8)&amp;REPT("☆",5-C8)</f>
        <v>★★★☆☆</v>
      </c>
      <c r="D18" s="46" t="str">
        <f aca="false">REPT("★",D8)&amp;REPT("☆",5-D8)</f>
        <v>★☆☆☆☆</v>
      </c>
      <c r="E18" s="46" t="str">
        <f aca="false">REPT("★",E8)&amp;REPT("☆",5-E8)</f>
        <v>★☆☆☆☆</v>
      </c>
      <c r="F18" s="46" t="str">
        <f aca="false">REPT("★",F8)&amp;REPT("☆",5-F8)</f>
        <v>★★★★★</v>
      </c>
      <c r="G18" s="46" t="str">
        <f aca="false">REPT("★",G8)&amp;REPT("☆",5-G8)</f>
        <v>☆☆☆☆☆</v>
      </c>
    </row>
    <row r="19" customFormat="false" ht="21" hidden="false" customHeight="true" outlineLevel="0" collapsed="false">
      <c r="A19" s="12" t="s">
        <v>329</v>
      </c>
      <c r="B19" s="46" t="str">
        <f aca="false">REPT("★",B9)&amp;REPT("☆",5-B9)</f>
        <v>★★★★★</v>
      </c>
      <c r="C19" s="46" t="str">
        <f aca="false">REPT("★",C9)&amp;REPT("☆",5-C9)</f>
        <v>★★★☆☆</v>
      </c>
      <c r="D19" s="46" t="str">
        <f aca="false">REPT("★",D9)&amp;REPT("☆",5-D9)</f>
        <v>★★★☆☆</v>
      </c>
      <c r="E19" s="46" t="str">
        <f aca="false">REPT("★",E9)&amp;REPT("☆",5-E9)</f>
        <v>★★★★★</v>
      </c>
      <c r="F19" s="46" t="str">
        <f aca="false">REPT("★",F9)&amp;REPT("☆",5-F9)</f>
        <v>★★★★☆</v>
      </c>
      <c r="G19" s="46" t="str">
        <f aca="false">REPT("★",G9)&amp;REPT("☆",5-G9)</f>
        <v>★★★☆☆</v>
      </c>
    </row>
    <row r="20" customFormat="false" ht="21" hidden="false" customHeight="true" outlineLevel="0" collapsed="false">
      <c r="A20" s="12" t="s">
        <v>330</v>
      </c>
      <c r="B20" s="46" t="str">
        <f aca="false">REPT("★",B10)&amp;REPT("☆",5-B10)</f>
        <v>★★★★☆</v>
      </c>
      <c r="C20" s="46" t="str">
        <f aca="false">REPT("★",C10)&amp;REPT("☆",5-C10)</f>
        <v>★★★★☆</v>
      </c>
      <c r="D20" s="46" t="str">
        <f aca="false">REPT("★",D10)&amp;REPT("☆",5-D10)</f>
        <v>★★★☆☆</v>
      </c>
      <c r="E20" s="46" t="str">
        <f aca="false">REPT("★",E10)&amp;REPT("☆",5-E10)</f>
        <v>★★★★★</v>
      </c>
      <c r="F20" s="46" t="str">
        <f aca="false">REPT("★",F10)&amp;REPT("☆",5-F10)</f>
        <v>★★★★☆</v>
      </c>
      <c r="G20" s="46" t="str">
        <f aca="false">REPT("★",G10)&amp;REPT("☆",5-G10)</f>
        <v>★★☆☆☆</v>
      </c>
    </row>
    <row r="21" customFormat="false" ht="21" hidden="false" customHeight="true" outlineLevel="0" collapsed="false">
      <c r="A21" s="12" t="s">
        <v>331</v>
      </c>
      <c r="B21" s="46" t="str">
        <f aca="false">REPT("★",B11)&amp;REPT("☆",5-B11)</f>
        <v>★★★☆☆</v>
      </c>
      <c r="C21" s="46" t="str">
        <f aca="false">REPT("★",C11)&amp;REPT("☆",5-C11)</f>
        <v>★★★★★</v>
      </c>
      <c r="D21" s="46" t="str">
        <f aca="false">REPT("★",D11)&amp;REPT("☆",5-D11)</f>
        <v>★★☆☆☆</v>
      </c>
      <c r="E21" s="46" t="str">
        <f aca="false">REPT("★",E11)&amp;REPT("☆",5-E11)</f>
        <v>★★★★☆</v>
      </c>
      <c r="F21" s="46" t="str">
        <f aca="false">REPT("★",F11)&amp;REPT("☆",5-F11)</f>
        <v>★★★★☆</v>
      </c>
      <c r="G21" s="46" t="str">
        <f aca="false">REPT("★",G11)&amp;REPT("☆",5-G11)</f>
        <v>★★★☆☆</v>
      </c>
    </row>
    <row r="22" customFormat="false" ht="21" hidden="false" customHeight="true" outlineLevel="0" collapsed="false">
      <c r="A22" s="12" t="s">
        <v>332</v>
      </c>
      <c r="B22" s="46" t="str">
        <f aca="false">REPT("★",B12)&amp;REPT("☆",5-B12)</f>
        <v>★★★☆☆</v>
      </c>
      <c r="C22" s="46" t="str">
        <f aca="false">REPT("★",C12)&amp;REPT("☆",5-C12)</f>
        <v>★★☆☆☆</v>
      </c>
      <c r="D22" s="46" t="str">
        <f aca="false">REPT("★",D12)&amp;REPT("☆",5-D12)</f>
        <v>★★☆☆☆</v>
      </c>
      <c r="E22" s="46" t="str">
        <f aca="false">REPT("★",E12)&amp;REPT("☆",5-E12)</f>
        <v>★★★★☆</v>
      </c>
      <c r="F22" s="46" t="str">
        <f aca="false">REPT("★",F12)&amp;REPT("☆",5-F12)</f>
        <v>★★★☆☆</v>
      </c>
      <c r="G22" s="46" t="str">
        <f aca="false">REPT("★",G12)&amp;REPT("☆",5-G12)</f>
        <v>★★★☆☆</v>
      </c>
    </row>
    <row r="23" customFormat="false" ht="21" hidden="false" customHeight="true" outlineLevel="0" collapsed="false">
      <c r="A23" s="12" t="s">
        <v>333</v>
      </c>
      <c r="B23" s="46" t="str">
        <f aca="false">REPT("★",B13)&amp;REPT("☆",5-B13)</f>
        <v>★★★☆☆</v>
      </c>
      <c r="C23" s="46" t="str">
        <f aca="false">REPT("★",C13)&amp;REPT("☆",5-C13)</f>
        <v>★★★★☆</v>
      </c>
      <c r="D23" s="46" t="str">
        <f aca="false">REPT("★",D13)&amp;REPT("☆",5-D13)</f>
        <v>★★☆☆☆</v>
      </c>
      <c r="E23" s="46" t="str">
        <f aca="false">REPT("★",E13)&amp;REPT("☆",5-E13)</f>
        <v>★★★★★</v>
      </c>
      <c r="F23" s="46" t="str">
        <f aca="false">REPT("★",F13)&amp;REPT("☆",5-F13)</f>
        <v>★★★★☆</v>
      </c>
      <c r="G23" s="46" t="str">
        <f aca="false">REPT("★",G13)&amp;REPT("☆",5-G13)</f>
        <v>★★★☆☆</v>
      </c>
    </row>
    <row r="24" customFormat="false" ht="21.75" hidden="false" customHeight="true" outlineLevel="0" collapsed="false">
      <c r="A24" s="11" t="s">
        <v>337</v>
      </c>
      <c r="B24" s="11"/>
      <c r="C24" s="11"/>
      <c r="D24" s="11"/>
      <c r="E24" s="11"/>
      <c r="F24" s="11"/>
      <c r="G24" s="11"/>
    </row>
    <row r="25" customFormat="false" ht="45.75" hidden="false" customHeight="true" outlineLevel="0" collapsed="false">
      <c r="A25" s="12" t="s">
        <v>338</v>
      </c>
      <c r="B25" s="13" t="s">
        <v>339</v>
      </c>
      <c r="C25" s="13" t="s">
        <v>340</v>
      </c>
      <c r="D25" s="13" t="s">
        <v>341</v>
      </c>
      <c r="E25" s="13" t="s">
        <v>342</v>
      </c>
      <c r="F25" s="13" t="s">
        <v>343</v>
      </c>
      <c r="G25" s="13" t="s">
        <v>344</v>
      </c>
    </row>
    <row r="26" customFormat="false" ht="61.5" hidden="false" customHeight="true" outlineLevel="0" collapsed="false">
      <c r="A26" s="12" t="s">
        <v>345</v>
      </c>
      <c r="B26" s="13" t="s">
        <v>346</v>
      </c>
      <c r="C26" s="13" t="s">
        <v>347</v>
      </c>
      <c r="D26" s="13" t="s">
        <v>348</v>
      </c>
      <c r="E26" s="13" t="s">
        <v>349</v>
      </c>
      <c r="F26" s="13" t="s">
        <v>350</v>
      </c>
      <c r="G26" s="13" t="s">
        <v>351</v>
      </c>
    </row>
    <row r="27" customFormat="false" ht="61.5" hidden="false" customHeight="true" outlineLevel="0" collapsed="false">
      <c r="A27" s="12" t="s">
        <v>352</v>
      </c>
      <c r="B27" s="13" t="s">
        <v>353</v>
      </c>
      <c r="C27" s="13" t="s">
        <v>354</v>
      </c>
      <c r="D27" s="13" t="s">
        <v>355</v>
      </c>
      <c r="E27" s="13" t="s">
        <v>356</v>
      </c>
      <c r="F27" s="13" t="s">
        <v>357</v>
      </c>
      <c r="G27" s="13" t="s">
        <v>358</v>
      </c>
    </row>
  </sheetData>
  <mergeCells count="5">
    <mergeCell ref="A1:G1"/>
    <mergeCell ref="A2:G2"/>
    <mergeCell ref="A6:G6"/>
    <mergeCell ref="A16:G16"/>
    <mergeCell ref="A24:G24"/>
  </mergeCells>
  <conditionalFormatting sqref="B14:G14">
    <cfRule type="colorScale" priority="2">
      <colorScale>
        <cfvo type="min" val="0"/>
        <cfvo type="percentile" val="50"/>
        <cfvo type="max" val="0"/>
        <color rgb="FFF8C8C8"/>
        <color rgb="FFFFF4CC"/>
        <color rgb="FFC8E6C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90"/>
    <col collapsed="false" customWidth="true" hidden="false" outlineLevel="0" max="7" min="4" style="0" width="24"/>
    <col collapsed="false" customWidth="true" hidden="false" outlineLevel="0" max="8" min="8" style="0" width="3"/>
  </cols>
  <sheetData>
    <row r="1" customFormat="false" ht="36" hidden="false" customHeight="true" outlineLevel="0" collapsed="false">
      <c r="A1" s="1" t="s">
        <v>359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360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361</v>
      </c>
      <c r="B5" s="4" t="s">
        <v>362</v>
      </c>
      <c r="C5" s="4" t="s">
        <v>363</v>
      </c>
    </row>
    <row r="6" customFormat="false" ht="31.5" hidden="false" customHeight="true" outlineLevel="0" collapsed="false">
      <c r="A6" s="47" t="s">
        <v>364</v>
      </c>
      <c r="B6" s="48" t="n">
        <v>16500</v>
      </c>
      <c r="C6" s="49" t="s">
        <v>365</v>
      </c>
    </row>
    <row r="7" customFormat="false" ht="31.5" hidden="false" customHeight="true" outlineLevel="0" collapsed="false">
      <c r="A7" s="47" t="s">
        <v>366</v>
      </c>
      <c r="B7" s="50" t="n">
        <v>950000</v>
      </c>
      <c r="C7" s="49" t="s">
        <v>367</v>
      </c>
    </row>
    <row r="8" customFormat="false" ht="31.5" hidden="false" customHeight="true" outlineLevel="0" collapsed="false">
      <c r="A8" s="47" t="s">
        <v>368</v>
      </c>
      <c r="B8" s="51" t="n">
        <v>0.011</v>
      </c>
      <c r="C8" s="49" t="s">
        <v>369</v>
      </c>
    </row>
    <row r="10" customFormat="false" ht="21.75" hidden="false" customHeight="true" outlineLevel="0" collapsed="false">
      <c r="A10" s="11" t="s">
        <v>370</v>
      </c>
      <c r="B10" s="11"/>
      <c r="C10" s="11"/>
      <c r="D10" s="11"/>
      <c r="E10" s="11"/>
      <c r="F10" s="11"/>
      <c r="G10" s="11"/>
    </row>
    <row r="11" customFormat="false" ht="15" hidden="false" customHeight="true" outlineLevel="0" collapsed="false">
      <c r="A11" s="52" t="s">
        <v>371</v>
      </c>
      <c r="B11" s="53" t="s">
        <v>372</v>
      </c>
      <c r="C11" s="53"/>
    </row>
    <row r="12" customFormat="false" ht="15" hidden="false" customHeight="true" outlineLevel="0" collapsed="false">
      <c r="A12" s="52" t="s">
        <v>373</v>
      </c>
      <c r="B12" s="53" t="s">
        <v>374</v>
      </c>
      <c r="C12" s="53"/>
    </row>
    <row r="13" customFormat="false" ht="15" hidden="false" customHeight="true" outlineLevel="0" collapsed="false">
      <c r="A13" s="52" t="s">
        <v>375</v>
      </c>
      <c r="B13" s="53" t="s">
        <v>376</v>
      </c>
      <c r="C13" s="53"/>
    </row>
    <row r="14" customFormat="false" ht="15" hidden="false" customHeight="true" outlineLevel="0" collapsed="false">
      <c r="A14" s="52" t="s">
        <v>377</v>
      </c>
      <c r="B14" s="53" t="s">
        <v>378</v>
      </c>
      <c r="C14" s="53"/>
    </row>
    <row r="15" customFormat="false" ht="15" hidden="false" customHeight="true" outlineLevel="0" collapsed="false">
      <c r="A15" s="52" t="s">
        <v>379</v>
      </c>
      <c r="B15" s="53" t="s">
        <v>380</v>
      </c>
      <c r="C15" s="53"/>
    </row>
    <row r="17" customFormat="false" ht="21.75" hidden="false" customHeight="true" outlineLevel="0" collapsed="false">
      <c r="A17" s="11" t="s">
        <v>381</v>
      </c>
      <c r="B17" s="11"/>
      <c r="C17" s="11"/>
      <c r="D17" s="11"/>
      <c r="E17" s="11"/>
      <c r="F17" s="11"/>
      <c r="G17" s="11"/>
    </row>
    <row r="18" customFormat="false" ht="30" hidden="false" customHeight="true" outlineLevel="0" collapsed="false">
      <c r="A18" s="53" t="s">
        <v>382</v>
      </c>
      <c r="B18" s="53"/>
      <c r="C18" s="53"/>
    </row>
    <row r="19" customFormat="false" ht="30" hidden="false" customHeight="true" outlineLevel="0" collapsed="false">
      <c r="A19" s="53" t="s">
        <v>383</v>
      </c>
      <c r="B19" s="53"/>
      <c r="C19" s="53"/>
    </row>
    <row r="20" customFormat="false" ht="30" hidden="false" customHeight="true" outlineLevel="0" collapsed="false">
      <c r="A20" s="53" t="s">
        <v>384</v>
      </c>
      <c r="B20" s="53"/>
      <c r="C20" s="53"/>
    </row>
    <row r="21" customFormat="false" ht="30" hidden="false" customHeight="true" outlineLevel="0" collapsed="false">
      <c r="A21" s="53" t="s">
        <v>385</v>
      </c>
      <c r="B21" s="53"/>
      <c r="C21" s="53"/>
    </row>
    <row r="22" customFormat="false" ht="30" hidden="false" customHeight="true" outlineLevel="0" collapsed="false">
      <c r="A22" s="53" t="s">
        <v>386</v>
      </c>
      <c r="B22" s="53"/>
      <c r="C22" s="53"/>
    </row>
  </sheetData>
  <mergeCells count="14">
    <mergeCell ref="A1:G1"/>
    <mergeCell ref="A2:G2"/>
    <mergeCell ref="A10:G10"/>
    <mergeCell ref="B11:C11"/>
    <mergeCell ref="B12:C12"/>
    <mergeCell ref="B13:C13"/>
    <mergeCell ref="B14:C14"/>
    <mergeCell ref="B15:C15"/>
    <mergeCell ref="A17:G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2026-10-25T08:44:21Z</dcterms:created>
  <dc:creator>openpyxl</dc:creator>
  <dc:description/>
  <dc:language>en-US</dc:language>
  <cp:lastModifiedBy/>
  <dcterms:modified xsi:type="dcterms:W3CDTF">2026-10-25T08:44:21Z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